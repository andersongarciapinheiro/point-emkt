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ção" sheetId="1" r:id="rId4"/>
    <sheet state="visible" name="Legenda" sheetId="2" r:id="rId5"/>
    <sheet state="visible" name="UTM - Mídia Não Paga" sheetId="3" r:id="rId6"/>
  </sheets>
  <definedNames/>
  <calcPr/>
  <extLst>
    <ext uri="GoogleSheetsCustomDataVersion1">
      <go:sheetsCustomData xmlns:go="http://customooxmlschemas.google.com/" r:id="rId7" roundtripDataSignature="AMtx7mgFU8aCwl6Fu8gAItsDHEpXKBJvl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2">
      <text>
        <t xml:space="preserve">======
ID#AAAAN6I8aKQ
    (2021-08-20 14:23:49)
ferramentas de envio</t>
      </text>
    </comment>
  </commentList>
  <extLst>
    <ext uri="GoogleSheetsCustomDataVersion1">
      <go:sheetsCustomData xmlns:go="http://customooxmlschemas.google.com/" r:id="rId1" roundtripDataSignature="AMtx7mjB7ox5LsOCtmBQmBpx5iEKpta6t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47">
      <text>
        <t xml:space="preserve">======
ID#AAAAOKY9RX4
Gabriela Ozi    (2021-09-03 16:44:56)
eu não lembro que job era esse :/</t>
      </text>
    </comment>
  </commentList>
  <extLst>
    <ext uri="GoogleSheetsCustomDataVersion1">
      <go:sheetsCustomData xmlns:go="http://customooxmlschemas.google.com/" r:id="rId1" roundtripDataSignature="AMtx7mg6N7j2M5la/n036eOTleyNvFFt7g=="/>
    </ext>
  </extLst>
</comments>
</file>

<file path=xl/sharedStrings.xml><?xml version="1.0" encoding="utf-8"?>
<sst xmlns="http://schemas.openxmlformats.org/spreadsheetml/2006/main" count="6121" uniqueCount="593">
  <si>
    <t>URL de Destino</t>
  </si>
  <si>
    <t>Source</t>
  </si>
  <si>
    <t>UTM Medium</t>
  </si>
  <si>
    <t>Campaign</t>
  </si>
  <si>
    <t>UTM Content</t>
  </si>
  <si>
    <t>UTM Term</t>
  </si>
  <si>
    <t>App Adjust</t>
  </si>
  <si>
    <t>id_origem_vivo + origin</t>
  </si>
  <si>
    <t>Plataforma</t>
  </si>
  <si>
    <t>Canal de Veiculacao</t>
  </si>
  <si>
    <t>aaaammdd-Campanha</t>
  </si>
  <si>
    <t>linha negocio</t>
  </si>
  <si>
    <t>Segmento</t>
  </si>
  <si>
    <t>Categoria</t>
  </si>
  <si>
    <t>Subcategoria</t>
  </si>
  <si>
    <t>Produto</t>
  </si>
  <si>
    <t>Objetivo</t>
  </si>
  <si>
    <t>Nome 
(CLM B2B)</t>
  </si>
  <si>
    <t>Segmento (CLM B2B)</t>
  </si>
  <si>
    <t>Vertical
(CLM B2B)</t>
  </si>
  <si>
    <t>Categoria 
(CLM B2B)</t>
  </si>
  <si>
    <t>Subcategoria
(CLM B2B)</t>
  </si>
  <si>
    <t>Tecnologia
(CLM B2B)</t>
  </si>
  <si>
    <t>Tipo de Jornada (CLM B2B)</t>
  </si>
  <si>
    <t>Nome da Jornada (CLM B2B)</t>
  </si>
  <si>
    <t>TP (CLM B2B)</t>
  </si>
  <si>
    <t>Linha Criativa</t>
  </si>
  <si>
    <t>Oferta</t>
  </si>
  <si>
    <t>Teste</t>
  </si>
  <si>
    <t>Intencao</t>
  </si>
  <si>
    <t>?/&amp;</t>
  </si>
  <si>
    <t>Tipo</t>
  </si>
  <si>
    <t>Origem</t>
  </si>
  <si>
    <t>Elemento</t>
  </si>
  <si>
    <t>selecione</t>
  </si>
  <si>
    <t>selecione o Nome</t>
  </si>
  <si>
    <t>selecione o Segmento</t>
  </si>
  <si>
    <t>selecione a Vertical</t>
  </si>
  <si>
    <t>selecione a Categoria</t>
  </si>
  <si>
    <t>selecione a Subcategoria</t>
  </si>
  <si>
    <t>selecione a Tecnologia</t>
  </si>
  <si>
    <t>seleciona o Tipo de Jornada</t>
  </si>
  <si>
    <t>allin</t>
  </si>
  <si>
    <t>audio</t>
  </si>
  <si>
    <t>vivo</t>
  </si>
  <si>
    <t>b2c</t>
  </si>
  <si>
    <t>care</t>
  </si>
  <si>
    <t>aura</t>
  </si>
  <si>
    <t>45g</t>
  </si>
  <si>
    <t>aquisicao</t>
  </si>
  <si>
    <t>PROX</t>
  </si>
  <si>
    <t>Saúde</t>
  </si>
  <si>
    <t>PME</t>
  </si>
  <si>
    <t>Serviços</t>
  </si>
  <si>
    <t>Fixa</t>
  </si>
  <si>
    <t>FTTC</t>
  </si>
  <si>
    <t>BAU Cliente</t>
  </si>
  <si>
    <t>?</t>
  </si>
  <si>
    <t>ios</t>
  </si>
  <si>
    <t>ananke-controle</t>
  </si>
  <si>
    <t>accordeon</t>
  </si>
  <si>
    <t>broadcast</t>
  </si>
  <si>
    <t>button</t>
  </si>
  <si>
    <t>telefonica</t>
  </si>
  <si>
    <t>b2b</t>
  </si>
  <si>
    <t>cloud</t>
  </si>
  <si>
    <t>controle</t>
  </si>
  <si>
    <t>amazon-prime-video</t>
  </si>
  <si>
    <t>comunicado</t>
  </si>
  <si>
    <t>Varejo</t>
  </si>
  <si>
    <t>One</t>
  </si>
  <si>
    <t>Produtos</t>
  </si>
  <si>
    <t>Movel</t>
  </si>
  <si>
    <t>FTTH</t>
  </si>
  <si>
    <t>BAU Prospect</t>
  </si>
  <si>
    <t>&amp;</t>
  </si>
  <si>
    <t>android</t>
  </si>
  <si>
    <t>ananke-controle-oferta-39</t>
  </si>
  <si>
    <t>banner</t>
  </si>
  <si>
    <t>clubhouse</t>
  </si>
  <si>
    <t xml:space="preserve">chat </t>
  </si>
  <si>
    <t>fundacao</t>
  </si>
  <si>
    <t>b2c-b2b</t>
  </si>
  <si>
    <t>convergencia</t>
  </si>
  <si>
    <t>Indústria</t>
  </si>
  <si>
    <t>Top</t>
  </si>
  <si>
    <t>SVA</t>
  </si>
  <si>
    <t>Nuvem</t>
  </si>
  <si>
    <t>Pos-pago</t>
  </si>
  <si>
    <t>Relacionamento</t>
  </si>
  <si>
    <t>all</t>
  </si>
  <si>
    <t>app-meuplano</t>
  </si>
  <si>
    <t>banner_rtd</t>
  </si>
  <si>
    <t>comstool</t>
  </si>
  <si>
    <t>emailmkt</t>
  </si>
  <si>
    <t>ecommerce</t>
  </si>
  <si>
    <t>easy</t>
  </si>
  <si>
    <t>black-november</t>
  </si>
  <si>
    <t>lancamento</t>
  </si>
  <si>
    <t>Educação</t>
  </si>
  <si>
    <t>Empresas</t>
  </si>
  <si>
    <t>Institucional</t>
  </si>
  <si>
    <t>Produtos digitais</t>
  </si>
  <si>
    <t>Behavior</t>
  </si>
  <si>
    <t>app-smartwifi</t>
  </si>
  <si>
    <t>box</t>
  </si>
  <si>
    <t>css</t>
  </si>
  <si>
    <t>feed</t>
  </si>
  <si>
    <t>fixa</t>
  </si>
  <si>
    <t>migracao</t>
  </si>
  <si>
    <t>Financeiro</t>
  </si>
  <si>
    <t>V</t>
  </si>
  <si>
    <t>appstore</t>
  </si>
  <si>
    <t>engagehub</t>
  </si>
  <si>
    <t>igtv</t>
  </si>
  <si>
    <t>institucional</t>
  </si>
  <si>
    <t xml:space="preserve">combate </t>
  </si>
  <si>
    <t>oferta</t>
  </si>
  <si>
    <t>Escritório</t>
  </si>
  <si>
    <t>Aparelhos</t>
  </si>
  <si>
    <t>assine</t>
  </si>
  <si>
    <t>card</t>
  </si>
  <si>
    <t>envya</t>
  </si>
  <si>
    <t>link</t>
  </si>
  <si>
    <t>movel</t>
  </si>
  <si>
    <t>internet</t>
  </si>
  <si>
    <t>compartilhamento</t>
  </si>
  <si>
    <t>pesquisa</t>
  </si>
  <si>
    <t>Tecnologia</t>
  </si>
  <si>
    <t>blog</t>
  </si>
  <si>
    <t>chat</t>
  </si>
  <si>
    <t>facebook</t>
  </si>
  <si>
    <t>outra</t>
  </si>
  <si>
    <t>sva</t>
  </si>
  <si>
    <t>marca</t>
  </si>
  <si>
    <t>dia-das-maes</t>
  </si>
  <si>
    <t>recarga</t>
  </si>
  <si>
    <t>captive-bemobi</t>
  </si>
  <si>
    <t>collections</t>
  </si>
  <si>
    <t>gemalto</t>
  </si>
  <si>
    <t>push</t>
  </si>
  <si>
    <t>servicosdigitais</t>
  </si>
  <si>
    <t>marketplace</t>
  </si>
  <si>
    <t>duo</t>
  </si>
  <si>
    <t>relacionamento</t>
  </si>
  <si>
    <t>captive-fonyou</t>
  </si>
  <si>
    <t>cta</t>
  </si>
  <si>
    <t>instagram</t>
  </si>
  <si>
    <t>pushonsite</t>
  </si>
  <si>
    <t>massivo</t>
  </si>
  <si>
    <t>ei-plus</t>
  </si>
  <si>
    <t>retencao</t>
  </si>
  <si>
    <t>captive-pre</t>
  </si>
  <si>
    <t>fixed-bar</t>
  </si>
  <si>
    <t>linkedIn</t>
  </si>
  <si>
    <t>qrcode</t>
  </si>
  <si>
    <t>meu-vivo</t>
  </si>
  <si>
    <t>upgrade</t>
  </si>
  <si>
    <t>captive-supportcomm</t>
  </si>
  <si>
    <t>footer</t>
  </si>
  <si>
    <t>mktcloud</t>
  </si>
  <si>
    <t>rcs</t>
  </si>
  <si>
    <t>money</t>
  </si>
  <si>
    <t>fox</t>
  </si>
  <si>
    <t>captive-upstream</t>
  </si>
  <si>
    <t>form</t>
  </si>
  <si>
    <t>organic-offline-media</t>
  </si>
  <si>
    <t>reels</t>
  </si>
  <si>
    <t>none</t>
  </si>
  <si>
    <t>fox-sports</t>
  </si>
  <si>
    <t>header</t>
  </si>
  <si>
    <t>sms</t>
  </si>
  <si>
    <t>pos-pago</t>
  </si>
  <si>
    <t>fundamentos</t>
  </si>
  <si>
    <t>checkout-express</t>
  </si>
  <si>
    <t>hyperlink</t>
  </si>
  <si>
    <t>paid-offline-media</t>
  </si>
  <si>
    <t>stories</t>
  </si>
  <si>
    <t>pre-pago</t>
  </si>
  <si>
    <t>giga-chip</t>
  </si>
  <si>
    <t>compre-vivo</t>
  </si>
  <si>
    <t>list</t>
  </si>
  <si>
    <t>parcerias</t>
  </si>
  <si>
    <t>video</t>
  </si>
  <si>
    <t>globoplay</t>
  </si>
  <si>
    <t>consulta-saldo</t>
  </si>
  <si>
    <t>menu</t>
  </si>
  <si>
    <t>RTDM</t>
  </si>
  <si>
    <t>webpush</t>
  </si>
  <si>
    <t>terminais</t>
  </si>
  <si>
    <t xml:space="preserve">hbo-go </t>
  </si>
  <si>
    <t>fatura</t>
  </si>
  <si>
    <t>modal</t>
  </si>
  <si>
    <t>smart-offers</t>
  </si>
  <si>
    <t>whatsapp</t>
  </si>
  <si>
    <t>tv</t>
  </si>
  <si>
    <t>forum</t>
  </si>
  <si>
    <t>portlet</t>
  </si>
  <si>
    <t>spotify</t>
  </si>
  <si>
    <t>valoriza</t>
  </si>
  <si>
    <t>mcafee</t>
  </si>
  <si>
    <t>loja-online</t>
  </si>
  <si>
    <t>tiktok</t>
  </si>
  <si>
    <t>velocidade</t>
  </si>
  <si>
    <t>meu-vivo-fixo</t>
  </si>
  <si>
    <t>lp-25mb</t>
  </si>
  <si>
    <t>twitch</t>
  </si>
  <si>
    <t>internet-voz</t>
  </si>
  <si>
    <t>meu-vivo-movel</t>
  </si>
  <si>
    <t>lp-29-captive</t>
  </si>
  <si>
    <t>screen</t>
  </si>
  <si>
    <t>twitter</t>
  </si>
  <si>
    <t>plano-movel</t>
  </si>
  <si>
    <t>lp-39-captive</t>
  </si>
  <si>
    <t>sitelink</t>
  </si>
  <si>
    <t>upstream</t>
  </si>
  <si>
    <t>vivo-total</t>
  </si>
  <si>
    <t>nba</t>
  </si>
  <si>
    <t>lp-afiliados</t>
  </si>
  <si>
    <t>tab</t>
  </si>
  <si>
    <t>youtube</t>
  </si>
  <si>
    <t>internet-fixa-e-tv</t>
  </si>
  <si>
    <t>nfl</t>
  </si>
  <si>
    <t>lp-amazon</t>
  </si>
  <si>
    <t>vitrine</t>
  </si>
  <si>
    <t>zenvia</t>
  </si>
  <si>
    <t>telefonia-fixa</t>
  </si>
  <si>
    <t>lp-brandformance-fixa</t>
  </si>
  <si>
    <t>webseriesvivo</t>
  </si>
  <si>
    <t>internet-fixa</t>
  </si>
  <si>
    <t>planos-familia</t>
  </si>
  <si>
    <t>lp-controle</t>
  </si>
  <si>
    <t>terra</t>
  </si>
  <si>
    <t>portal-vivo</t>
  </si>
  <si>
    <t>lp-controle-n</t>
  </si>
  <si>
    <t>Vivo-Meu-Negocio</t>
  </si>
  <si>
    <t>vivo-pay</t>
  </si>
  <si>
    <t>premiere</t>
  </si>
  <si>
    <t>lp-controle-oferta-29</t>
  </si>
  <si>
    <t>recarga-digital</t>
  </si>
  <si>
    <t>lp-controle-oferta-39</t>
  </si>
  <si>
    <t xml:space="preserve">seguro-celular </t>
  </si>
  <si>
    <t>lp-convergencia</t>
  </si>
  <si>
    <t>smart-ofertas</t>
  </si>
  <si>
    <t>lp-convergencia-ctrl</t>
  </si>
  <si>
    <t>sme</t>
  </si>
  <si>
    <t>lp-convergencia-pre</t>
  </si>
  <si>
    <t>telecine</t>
  </si>
  <si>
    <t>lp-duo</t>
  </si>
  <si>
    <t>tem-hora-pra-tudo</t>
  </si>
  <si>
    <t>lp-fftc</t>
  </si>
  <si>
    <t>tidal</t>
  </si>
  <si>
    <t>lp-fique-em-casa</t>
  </si>
  <si>
    <t>vivo@0604</t>
  </si>
  <si>
    <t>lp-ftth</t>
  </si>
  <si>
    <t>vivo-controle</t>
  </si>
  <si>
    <t>lp-hub-blackfriday</t>
  </si>
  <si>
    <t>vivo-easy</t>
  </si>
  <si>
    <t>lp-hub-disney</t>
  </si>
  <si>
    <t>vivo-fibra</t>
  </si>
  <si>
    <t>lp-keyd</t>
  </si>
  <si>
    <t>vivo-fibra-destrave</t>
  </si>
  <si>
    <t>lp-mcafee</t>
  </si>
  <si>
    <t>vivo-fibra-netflix</t>
  </si>
  <si>
    <t>lp-migratecnologia</t>
  </si>
  <si>
    <t>vivo-fibra-novas-cidades</t>
  </si>
  <si>
    <t>lp-nfl</t>
  </si>
  <si>
    <t>vivo-guru</t>
  </si>
  <si>
    <t>lp-novas-cidade-avise</t>
  </si>
  <si>
    <t>lp-novas-cidade-lancamento</t>
  </si>
  <si>
    <t>vivo-internet</t>
  </si>
  <si>
    <t>lp-novas-cidade-pre-venda</t>
  </si>
  <si>
    <t>vivo-meditacao</t>
  </si>
  <si>
    <t>lp-ofertas-combos</t>
  </si>
  <si>
    <t>vivo-pos</t>
  </si>
  <si>
    <t>lp-pos-captive</t>
  </si>
  <si>
    <t>vivo-smart-wifi</t>
  </si>
  <si>
    <t>lp-pos-familia</t>
  </si>
  <si>
    <t>vivo-turbo</t>
  </si>
  <si>
    <t>lp-posicional-fixa</t>
  </si>
  <si>
    <t>vivo-turbo-15-dias</t>
  </si>
  <si>
    <t>lp-pos-individual</t>
  </si>
  <si>
    <t>vivo-tv</t>
  </si>
  <si>
    <t>lp-pos-pago</t>
  </si>
  <si>
    <t>watch-espn</t>
  </si>
  <si>
    <t>lp-pos-portabilidade</t>
  </si>
  <si>
    <t>smart-empresas</t>
  </si>
  <si>
    <t>lp-pos-selfie-hub</t>
  </si>
  <si>
    <t>lp-pos-selfie-netflix</t>
  </si>
  <si>
    <t>lp-pos-selfie-premiere</t>
  </si>
  <si>
    <t>lp-pos-selfie-rappi</t>
  </si>
  <si>
    <t>lp-pos-selfie-spotify</t>
  </si>
  <si>
    <t>lp-recarga</t>
  </si>
  <si>
    <t>lp-smart-wifi</t>
  </si>
  <si>
    <t>lp-totalizacao-10gb</t>
  </si>
  <si>
    <t>lp-totalizacao-50gb</t>
  </si>
  <si>
    <t>lp-totalizacao-5gb</t>
  </si>
  <si>
    <t>lp-tvsolo</t>
  </si>
  <si>
    <t>lp-vivo-car</t>
  </si>
  <si>
    <t>lp-vivo-empresas-fixa</t>
  </si>
  <si>
    <t>lp-vivo-empresas-movel</t>
  </si>
  <si>
    <t>lp-vivo-guru</t>
  </si>
  <si>
    <t>market-place</t>
  </si>
  <si>
    <t>mve-app</t>
  </si>
  <si>
    <t>mve-desktop</t>
  </si>
  <si>
    <t>mve-mobile</t>
  </si>
  <si>
    <t>mvf-app</t>
  </si>
  <si>
    <t>mvf-mobile</t>
  </si>
  <si>
    <t>mvf-web</t>
  </si>
  <si>
    <t>mvm-app</t>
  </si>
  <si>
    <t>mvm-mobile</t>
  </si>
  <si>
    <t>mvm-web</t>
  </si>
  <si>
    <t>parceiro-bancodobrasil</t>
  </si>
  <si>
    <t>parceiro-santander</t>
  </si>
  <si>
    <t>portal</t>
  </si>
  <si>
    <t>portal-controle</t>
  </si>
  <si>
    <t>portal-controle-2gb-39</t>
  </si>
  <si>
    <t>portal-controle-2gb-54</t>
  </si>
  <si>
    <t>portal-controle-ofertas</t>
  </si>
  <si>
    <t>portal-faculdades</t>
  </si>
  <si>
    <t>portal-home</t>
  </si>
  <si>
    <t>portal-planos</t>
  </si>
  <si>
    <t>portal-pos-familia</t>
  </si>
  <si>
    <t>portal-pos-individual</t>
  </si>
  <si>
    <t>portal-pos-selfie</t>
  </si>
  <si>
    <t>portal-pre</t>
  </si>
  <si>
    <t>portal-servicos-digitais</t>
  </si>
  <si>
    <t>portal-teste-velocidade</t>
  </si>
  <si>
    <t>portal-totalizacao</t>
  </si>
  <si>
    <t>portal-vivo-explica</t>
  </si>
  <si>
    <t>recarga-vivo</t>
  </si>
  <si>
    <t>ura-bemobi</t>
  </si>
  <si>
    <t>vivo-play</t>
  </si>
  <si>
    <t>vivo-regulariza-facil</t>
  </si>
  <si>
    <t>vivo-valoriza</t>
  </si>
  <si>
    <t>lp-mudanca-plano</t>
  </si>
  <si>
    <t>live-commerce</t>
  </si>
  <si>
    <t xml:space="preserve">LEGENDA - BUILDER MÍDIA </t>
  </si>
  <si>
    <t>1. WORKSHEETS:</t>
  </si>
  <si>
    <t>URL - Mídia Paga:</t>
  </si>
  <si>
    <t>todas as campanhas de mídia paga deverão ser geradas suas URLs nesta worksheet (ex: Facebook, Google, Portais...);</t>
  </si>
  <si>
    <t>URL - Email Mkt e Organica:</t>
  </si>
  <si>
    <t>todas as campanhas referentes a e-mail marketing, SMS e mídia não pagas (ex; fanpages no Facebook, Twitter...) deverão ser geradas suas URLs nesta worksheet;</t>
  </si>
  <si>
    <t>URL - Midia Origem Vivo:</t>
  </si>
  <si>
    <t>as campanhas onde ativação acontecerão no portal Vivo (ex: Loja OnLine, Meu Vivo..) deverá ser gerada suas URLs nesta worksheet.</t>
  </si>
  <si>
    <t>2. PARÂMETROS:</t>
  </si>
  <si>
    <t>Plataforma:</t>
  </si>
  <si>
    <r>
      <rPr>
        <rFont val="Arial"/>
        <color rgb="FF6C2D9B"/>
        <sz val="10.0"/>
      </rPr>
      <t xml:space="preserve">Campo tipo </t>
    </r>
    <r>
      <rPr>
        <rFont val="Arial"/>
        <i/>
        <color rgb="FF6C2D9B"/>
        <sz val="10.0"/>
      </rPr>
      <t>lista</t>
    </r>
    <r>
      <rPr>
        <rFont val="Arial"/>
        <color rgb="FF6C2D9B"/>
        <sz val="10.0"/>
      </rPr>
      <t xml:space="preserve"> com as ferramentas de envio de e-mail mkt e SMS. (</t>
    </r>
    <r>
      <rPr>
        <rFont val="Arial"/>
        <i/>
        <color rgb="FF6C2D9B"/>
        <sz val="10.0"/>
      </rPr>
      <t>Ex. Allin</t>
    </r>
    <r>
      <rPr>
        <rFont val="Arial"/>
        <color rgb="FF6C2D9B"/>
        <sz val="10.0"/>
      </rPr>
      <t>)</t>
    </r>
  </si>
  <si>
    <t>Canal de Veiculação:</t>
  </si>
  <si>
    <r>
      <rPr>
        <rFont val="Arial"/>
        <color rgb="FF6C2D9B"/>
        <sz val="10.0"/>
      </rPr>
      <t xml:space="preserve">Campo tipo </t>
    </r>
    <r>
      <rPr>
        <rFont val="Arial"/>
        <i/>
        <color rgb="FF6C2D9B"/>
        <sz val="10.0"/>
      </rPr>
      <t>lista</t>
    </r>
    <r>
      <rPr>
        <rFont val="Arial"/>
        <color rgb="FF6C2D9B"/>
        <sz val="10.0"/>
      </rPr>
      <t xml:space="preserve"> com os principais veiculos para ativação. (</t>
    </r>
    <r>
      <rPr>
        <rFont val="Arial"/>
        <i/>
        <color rgb="FF6C2D9B"/>
        <sz val="10.0"/>
      </rPr>
      <t>Ex. Emailmkt, SMS</t>
    </r>
    <r>
      <rPr>
        <rFont val="Arial"/>
        <color rgb="FF6C2D9B"/>
        <sz val="10.0"/>
      </rPr>
      <t>)</t>
    </r>
  </si>
  <si>
    <t>aaaammdd-Campanha:</t>
  </si>
  <si>
    <t>Insira o nome da campanha. Como padrão deve-se ser colocado primeiro a data do disparo e em seguida o título da campanha.</t>
  </si>
  <si>
    <r>
      <rPr>
        <rFont val="Arial"/>
        <color rgb="FF6C2D9B"/>
        <sz val="10.0"/>
      </rPr>
      <t>(</t>
    </r>
    <r>
      <rPr>
        <rFont val="Arial"/>
        <i/>
        <color rgb="FF6C2D9B"/>
        <sz val="10.0"/>
      </rPr>
      <t>ex:20190902 - Oferta Controle R$39,90</t>
    </r>
    <r>
      <rPr>
        <rFont val="Arial"/>
        <color rgb="FF6C2D9B"/>
        <sz val="10.0"/>
      </rPr>
      <t>)</t>
    </r>
  </si>
  <si>
    <t>linha negocio:</t>
  </si>
  <si>
    <t>Lista com os tipo de negócios da empresa: Vivo, Telefonica e Fundação</t>
  </si>
  <si>
    <t>Segmento:</t>
  </si>
  <si>
    <t>Selecione o tipo de segmento da ação: B2B, B2C ou B2B e B2C</t>
  </si>
  <si>
    <t>Categoria:</t>
  </si>
  <si>
    <r>
      <rPr>
        <rFont val="Arial"/>
        <color rgb="FF6C2D9B"/>
        <sz val="10.0"/>
      </rPr>
      <t>Selecione o tipo de categoria da campanha. (</t>
    </r>
    <r>
      <rPr>
        <rFont val="Arial"/>
        <i/>
        <color rgb="FF6C2D9B"/>
        <sz val="10.0"/>
      </rPr>
      <t>Ex: Móvel</t>
    </r>
    <r>
      <rPr>
        <rFont val="Arial"/>
        <color rgb="FF6C2D9B"/>
        <sz val="10.0"/>
      </rPr>
      <t>)</t>
    </r>
  </si>
  <si>
    <t>Subcategoria:</t>
  </si>
  <si>
    <r>
      <rPr>
        <rFont val="Arial"/>
        <color rgb="FF6C2D9B"/>
        <sz val="10.0"/>
      </rPr>
      <t>Selecione o tipo de subcategoria. (</t>
    </r>
    <r>
      <rPr>
        <rFont val="Arial"/>
        <i/>
        <color rgb="FF6C2D9B"/>
        <sz val="10.0"/>
      </rPr>
      <t>Ex: Pre-pago</t>
    </r>
    <r>
      <rPr>
        <rFont val="Arial"/>
        <color rgb="FF6C2D9B"/>
        <sz val="10.0"/>
      </rPr>
      <t>)</t>
    </r>
  </si>
  <si>
    <t>Produto:</t>
  </si>
  <si>
    <r>
      <rPr>
        <rFont val="Arial"/>
        <color rgb="FF6C2D9B"/>
        <sz val="10.0"/>
      </rPr>
      <t>Seleciono o produto relacionado a campanha. (</t>
    </r>
    <r>
      <rPr>
        <rFont val="Arial"/>
        <i/>
        <color rgb="FF6C2D9B"/>
        <sz val="10.0"/>
      </rPr>
      <t>Ex: Giga-chip</t>
    </r>
    <r>
      <rPr>
        <rFont val="Arial"/>
        <color rgb="FF6C2D9B"/>
        <sz val="10.0"/>
      </rPr>
      <t>)</t>
    </r>
  </si>
  <si>
    <t>Linha Criativa:</t>
  </si>
  <si>
    <t xml:space="preserve">Quando houver mais de uma linha criativa por campanha é necessario </t>
  </si>
  <si>
    <t>Oferta:</t>
  </si>
  <si>
    <r>
      <rPr>
        <rFont val="Arial"/>
        <color rgb="FF6C2D9B"/>
        <sz val="10.0"/>
      </rPr>
      <t xml:space="preserve">Campo destinado para declarar o valor da oferta da Ativação. Caso deseja mensurar, favor utilizar o separador "-" para centavos. </t>
    </r>
    <r>
      <rPr>
        <rFont val="Arial"/>
        <i/>
        <color rgb="FF6C2D9B"/>
        <sz val="10.0"/>
      </rPr>
      <t xml:space="preserve"> Ex: 39-90</t>
    </r>
  </si>
  <si>
    <t>Teste:</t>
  </si>
  <si>
    <t>Campo destinado para mensurar, atibutos aplicados em testes A/B. Ex: cta-botao-laranja, fundo-vermelho...</t>
  </si>
  <si>
    <t>Intencao:</t>
  </si>
  <si>
    <t>Campo não obrigatório. Poderá ser inserido qual a intenção/objetivo da campanha. Ex: performance, brand...</t>
  </si>
  <si>
    <t>CAMPOS OBRIGATÓRIOS</t>
  </si>
  <si>
    <t>CAMPOS EXCLUSIVOS PARA O TIME DE CLM UTILIZAREM EM CAMPANHAS DE B2B</t>
  </si>
  <si>
    <t>URL Parametrizada</t>
  </si>
  <si>
    <t>UTM Source</t>
  </si>
  <si>
    <t>UTM Campaign</t>
  </si>
  <si>
    <t>Link URL</t>
  </si>
  <si>
    <t>aaaammdd-Campanha_b2c/b2b</t>
  </si>
  <si>
    <t>Nome
(CLM B2B)</t>
  </si>
  <si>
    <t>Nome da jornada
(CLM B2B)</t>
  </si>
  <si>
    <t>TP 
(CLM B2B)</t>
  </si>
  <si>
    <t>https://www.vivo.com.br/para-voce/produtos-e-servicos/ofertas/cartao-vivo-itaucard</t>
  </si>
  <si>
    <t>##IDPlay##</t>
  </si>
  <si>
    <t>https://lojaonline.vivo.com.br/vivostorefront/Vivo/Aparelhos/Smartphone/MOTOROLA-XT2097-SMARTPHONE-AZ/p/TGMO40612000?identifier=E7power</t>
  </si>
  <si>
    <t>##ApproachStart##-48horas-20-21</t>
  </si>
  <si>
    <t>https://lojaonline.vivo.com.br/vivostorefront/p/22019585</t>
  </si>
  <si>
    <t>##ApproachStart##-SmartOferta-2408</t>
  </si>
  <si>
    <t>CTA1</t>
  </si>
  <si>
    <t>https://lojaonline.vivo.com.br/vivostorefront/p/22019711</t>
  </si>
  <si>
    <t>CTA7</t>
  </si>
  <si>
    <t>http://lojaonline.vivo.com.br/vivostorefront/campaign?identifier=motoe764gb_controle</t>
  </si>
  <si>
    <t>##ApproachStart##-Ofertas-dia-do-gamer</t>
  </si>
  <si>
    <t>https://lojaonline.vivo.com.br/vivostorefront/p/22020031</t>
  </si>
  <si>
    <t>CTA2</t>
  </si>
  <si>
    <t>https://lojaonline.vivo.com.br/vivostorefront/p/22018931</t>
  </si>
  <si>
    <t>CTA3</t>
  </si>
  <si>
    <t>https://lojaonline.vivo.com.br/vivostorefront/p/22019616</t>
  </si>
  <si>
    <t>CTA4</t>
  </si>
  <si>
    <t>https://lojaonline.vivo.com.br/vivostorefront/p/22019617</t>
  </si>
  <si>
    <t>CTA5</t>
  </si>
  <si>
    <t>https://lojaonline.vivo.com.br/vivostorefront/p/22019547</t>
  </si>
  <si>
    <t>CTA6</t>
  </si>
  <si>
    <t>https://lojaonline.vivo.com.br/vivostorefront/p/22019548</t>
  </si>
  <si>
    <t>https://lojaonline.vivo.com.br/vivostorefront/p/22019720</t>
  </si>
  <si>
    <t>CTA8</t>
  </si>
  <si>
    <t>https://meu.vivo/XQZm/ad87d185</t>
  </si>
  <si>
    <t>##ApproachStar##-Atendimento-meu-vivo</t>
  </si>
  <si>
    <t>https://lojaonline.vivo.com.br/movel/orders/list</t>
  </si>
  <si>
    <t>##ApproachStart##-Traking-pedido-up-down-controle</t>
  </si>
  <si>
    <t>##ApproachStart##-Incentivo-mcafee</t>
  </si>
  <si>
    <t>https://lojaonline.vivo.com.br/vivostorefront/</t>
  </si>
  <si>
    <t>##ApproachStart##-48Horas-generico</t>
  </si>
  <si>
    <t>##ApproachStart##-SmartOfertas-generico</t>
  </si>
  <si>
    <t>https://meu.vivo/XQZm/4cc56d5e</t>
  </si>
  <si>
    <t>##ApproachStart##-Nova-oferta-hbo-max</t>
  </si>
  <si>
    <t>https://www.vivo.com.br/para-empresas/meu-vivo-empresas</t>
  </si>
  <si>
    <t>##ApproachStart##-Lancamento-esim</t>
  </si>
  <si>
    <t>##ApproachStart##-Meu-vivo-bloqueios-pre</t>
  </si>
  <si>
    <t>##ApproachStart##-Loja-shopping-leblon</t>
  </si>
  <si>
    <t>##ApproachStart##-Ausencia-faturamento-cobranca-retroativa</t>
  </si>
  <si>
    <t>##ApproachStart##-Upgrade-bl-plano-vivo-v</t>
  </si>
  <si>
    <t>##ApproachStart##-Incentivo-vivo-cloud</t>
  </si>
  <si>
    <t>https://vivoemdia.vivo.com.br/</t>
  </si>
  <si>
    <t>##ApproachStart##-Traking-pedido-migra-controle-pos</t>
  </si>
  <si>
    <t>https://www.vivo.com.br/para-voce/produtos-e-servicos/servicos-digitais/apps-no-plano-de-celular/aplicativo-btfit</t>
  </si>
  <si>
    <t>##ApproachStart##-Inclusao-bundles-plano-pos</t>
  </si>
  <si>
    <t>lojaonline.vivo.com.br/vivostorefront?site=vivo</t>
  </si>
  <si>
    <t>##ApproachStart##-Prateleira-infinita-compra-via-link</t>
  </si>
  <si>
    <t>##ApproachStart##-Premiere-nova-orferta</t>
  </si>
  <si>
    <t>##ApproachStart##-Complemento-acao-blindagem</t>
  </si>
  <si>
    <t>www.appstore.vivo.com.br</t>
  </si>
  <si>
    <t>##ApproachStart##-Descontinuacao-assinatura-discovery-kids</t>
  </si>
  <si>
    <t>https://www.vivoplay.com.br/catalog/bilheteria-8538/lancamentos-8285</t>
  </si>
  <si>
    <t>##ApproachStart##-Lancamento-2809-voucher</t>
  </si>
  <si>
    <t>##ApproachStart##-Paramount-destaques-setembro</t>
  </si>
  <si>
    <t>##ApproachStart##-Lancamento-Space-Jam</t>
  </si>
  <si>
    <t>##ApproachStart##-Lancamento-filme-0309-Espiral</t>
  </si>
  <si>
    <t>##ApproachStart##-Lancamento-filme-0309-Croods</t>
  </si>
  <si>
    <t>##ApproachStart##-Lancamento-filme-0309-Dont-tell-soul</t>
  </si>
  <si>
    <t>##ApproachStart##-Lancamento-filme-0309-Space-Jam</t>
  </si>
  <si>
    <t>##ApproachStart##-Lancamento-filme-0309-mundo-em-caos</t>
  </si>
  <si>
    <t>https://www.vivoplay.com.br/details/movie/infinite-dual-audio-16028186</t>
  </si>
  <si>
    <t>##ApproachStart##-Lancamento-filme-0309-infinite</t>
  </si>
  <si>
    <t>https://www.vivoplay.com.br/details/movie/wander-dual-audio-16140023</t>
  </si>
  <si>
    <t>##ApproachStart##-Lancamento-filme-0309-wander</t>
  </si>
  <si>
    <t>##ApproachStart##-Assinatura-Vivo-Pay</t>
  </si>
  <si>
    <t>##ApproachStart##-Renova-upgrade-samsung</t>
  </si>
  <si>
    <t>##ApproachStart##-Descontinuacao-assinatura-cartoon-network</t>
  </si>
  <si>
    <t>##ApproachStart##-Tracking-pedido-cliente-alta</t>
  </si>
  <si>
    <t>https://www.vivo.com.br/para-voce/ajuda/mais-ajuda/encontre-uma-loja</t>
  </si>
  <si>
    <t>##ApproachStart##-Upgrade-fibra</t>
  </si>
  <si>
    <t>##ApproachStart##-Ciclo-vida-cliente-AirPods-Pro</t>
  </si>
  <si>
    <t>##ApproachStart##-Ciclo-vida-cliente-MagSafe</t>
  </si>
  <si>
    <t>##ApproachStart##-Ciclo-vida-cliente-Seguros</t>
  </si>
  <si>
    <t>##ApproachStart##-Ciclo-vida-cliente-AirPods</t>
  </si>
  <si>
    <t>##ApproachStart##-Ciclo-vida-cliente-AirTag</t>
  </si>
  <si>
    <t>www.vivoplataformadigital.com.br</t>
  </si>
  <si>
    <t xml:space="preserve">##ApproachStart##-Tutorial-acesso-plataforma-digital </t>
  </si>
  <si>
    <t>https://app.mindminers.com/r/PTRUCLM</t>
  </si>
  <si>
    <t>##ApproachStart##-Pesquisa-Smart-WiFi-Detratores</t>
  </si>
  <si>
    <t>##ApproachStart##-Pesquisa-Smart-WiFi-Neutros-Satisfeitos</t>
  </si>
  <si>
    <t>https://vivo.tl/acessemvfixo</t>
  </si>
  <si>
    <t>##ApproachStart##-Comunicado-instalacao-BD-OS</t>
  </si>
  <si>
    <t>##ApproachStart##-Comunicado-apos-unificacao</t>
  </si>
  <si>
    <t>http://lojaonline.vivo.com.br/vivostorefront/campaign?identifier=nokia54</t>
  </si>
  <si>
    <t>##ApproachStart##-SmartOfertas-3108-0809</t>
  </si>
  <si>
    <t>http://lojaonline.vivo.com.br/vivostorefront/campaign?identifier=Moto_G30_Netflix</t>
  </si>
  <si>
    <t>https://lojaonline.vivo.com.br/vivostorefront/p/22019621</t>
  </si>
  <si>
    <t>https://lojaonline.vivo.com.br/vivostorefront/p/TGSA38364000</t>
  </si>
  <si>
    <t>https://lojaonline.vivo.com.br/vivostorefront/p/BGSA38554007</t>
  </si>
  <si>
    <t>https://lojaonline.vivo.com.br/vivostorefront/Vivo/Acess%C3%B3rios/Games/c/vivogames</t>
  </si>
  <si>
    <t>vivo.com.br/vivoemcasa</t>
  </si>
  <si>
    <t>http://lojaonline.vivo.com.br/vivostorefront/campaign?identifier=lgk41s-controle</t>
  </si>
  <si>
    <t>##ApproachStart##-48horas-0909</t>
  </si>
  <si>
    <t>##ApproachStart##-Vivo-cultura-teatro-em-casa-setembro</t>
  </si>
  <si>
    <t>##ApproachStart##-Tracking-Alta-Pos-Selfie</t>
  </si>
  <si>
    <t>##ApproachStart##-Ofertas-semana-cliente-pos</t>
  </si>
  <si>
    <t>##ApproachStart##-Ofertas-semana-cliente-controle</t>
  </si>
  <si>
    <t>https://lojaonline.vivo.com.br/</t>
  </si>
  <si>
    <t>##ApproachStart##-Valoriza-xp</t>
  </si>
  <si>
    <t>www.vivo.com.br/portaldeservico</t>
  </si>
  <si>
    <t>##ApproachStart##-Welcome-internet-dedicada-flex</t>
  </si>
  <si>
    <t>https://conteudo.skeelo.app/vivo?utm_source=vivo&amp;utm_medium=null&amp;utm_campaign=incentivo_cadastro</t>
  </si>
  <si>
    <t>##ApproachStart##-Engajamento-Skeelo-Resgate-Seja-Foda</t>
  </si>
  <si>
    <t>##ApproachStart##-Engajamento-Skeelo-Resgate-Ponto-Inflexao</t>
  </si>
  <si>
    <t>##ApproachStart##-Oferta-la-carte-HBO-oferta1</t>
  </si>
  <si>
    <t>##ApproachStart##-Oferta-la-carte-HBO-oferta2</t>
  </si>
  <si>
    <t>##ApproachStart##-Oferta-la-carte-HBO-rentabilizacao</t>
  </si>
  <si>
    <t>##ApproachStart##-Comunicado-novo-app-vivo</t>
  </si>
  <si>
    <t>##ApproachStart##-Estadio-TNT-sports-juventude-santos</t>
  </si>
  <si>
    <t>##ApproachStart##-Lancamento-motoedge20</t>
  </si>
  <si>
    <t>https://www.vivo.com.br/para-voce/produtos-e-servicos/smartphones/ofertas/galaxy-zfold3-flip3-5g</t>
  </si>
  <si>
    <t>##ApproachStart##-Pre-cadastro-lancamento-samsung-galaxy</t>
  </si>
  <si>
    <t>##ApproachStart##-Acao-engajamento-atualizacao-chip</t>
  </si>
  <si>
    <t>##ApproachStart##-Acao-engajamento-atualizacao-aparelho</t>
  </si>
  <si>
    <t>##ApproachStart##-Acao-engajamento-boas-praticas-dual-chip</t>
  </si>
  <si>
    <t>##ApproachStart##-Acao-engajamento-boas-praticas-volte</t>
  </si>
  <si>
    <t>##ApproachStart##-Acao-engajamento-melhorias-4g</t>
  </si>
  <si>
    <t>vivo.com.br</t>
  </si>
  <si>
    <t>##ApproachStart##-Traking-pedido-up-down-pos-selfie</t>
  </si>
  <si>
    <t>##ApproachStart##-Nova-loja-shopping-patio-batel</t>
  </si>
  <si>
    <t>##ApproachStart##-Paramount-destaques-setembro-2</t>
  </si>
  <si>
    <t>https://vivo.tl/vel</t>
  </si>
  <si>
    <t>##ApproachStart##-Acao-blindagem-disney-plus</t>
  </si>
  <si>
    <t>https://appstore.vivo.com.br/sc/br/vivostore/detalle/telecine/62647/2046</t>
  </si>
  <si>
    <t>##ApproachStart##-Telecine-Oferta-50-desconto-movel</t>
  </si>
  <si>
    <t>https://www.vivo.com.br/para-voce/produtos-e-servicos/para-casa/internet/planos-de-internet-vivo-fibra/apps-de-conteudo/telecine</t>
  </si>
  <si>
    <t>##ApproachStart##-Telecine-Oferta-50-desconto-fixa</t>
  </si>
  <si>
    <t>##ApproachStart##-Estadio-TNT-sports-palmeiras-juventude</t>
  </si>
  <si>
    <t>##ApproachStart##-Smart-ofertas-controle-1609-2209</t>
  </si>
  <si>
    <t>http://lojaonline.vivo.com.br/vivostorefront/campaign?identifier=MOTO_E7_PLUS_CONTROLE</t>
  </si>
  <si>
    <t>http://lojaonline.vivo.com.br/vivostorefront/campaign?identifier=Nokia24_Controle</t>
  </si>
  <si>
    <t>https://lojaonline.vivo.com.br/vivostorefront/p/22019068</t>
  </si>
  <si>
    <t>https://lojaonline.vivo.com.br/vivostorefront/p/22019556</t>
  </si>
  <si>
    <t>https://lojaonline.vivo.com.br/vivostorefront/p/22019665</t>
  </si>
  <si>
    <t>https://lojaonline.vivo.com.br/vivostorefront/p/22019635</t>
  </si>
  <si>
    <t>##ApproachStart##-Smart-ofertas-pos-1609-2209</t>
  </si>
  <si>
    <t>http://lojaonline.vivo.com.br/vivostorefront/campaign?identifier=s21-Ultra-60fam</t>
  </si>
  <si>
    <t>https://lojaonline.vivo.com.br/vivostorefront/p/22019807</t>
  </si>
  <si>
    <t>https://lojaonline.vivo.com.br/vivostorefront/p/22019596</t>
  </si>
  <si>
    <t>##ApproachStart##-Smart-ofertas-semana-cliente-Apple</t>
  </si>
  <si>
    <t>https://www.vivoplay.com.br/details/movie/o-esquadrao-suicida-dual-audio-16462943?tr=1</t>
  </si>
  <si>
    <t>##ApproachStart##-Lancamento-filme-1709-Esquadrao-suicida</t>
  </si>
  <si>
    <t>https://www.vivoplay.com.br/details/movie/15319676</t>
  </si>
  <si>
    <t>##ApproachStart##-Lancamento-filme-1709-Godzila-Kong</t>
  </si>
  <si>
    <t>https://www.vivoplay.com.br/details/movie/pequenos-vestigios-dual-audio-16462945?tr=1</t>
  </si>
  <si>
    <t>##ApproachStart##-Lancamento-filme-1709-Pequenos-vestigios</t>
  </si>
  <si>
    <t>https://www.vivoplay.com.br/details/movie/espiral-o-legado-de-jogos-mortais-dual-audio-16420678</t>
  </si>
  <si>
    <t>##ApproachStart##-Lancamento-filme-1709-Espiral</t>
  </si>
  <si>
    <t>https://www.vivoplay.com.br/details/movie/os-croods-2-uma-nova-era-dual-audio-16212088</t>
  </si>
  <si>
    <t>##ApproachStart##-Lancamento-filme-1709-Croods</t>
  </si>
  <si>
    <t>https://www.vivoplay.com.br/details/movie/space-jam-um-novo-legado-16106994</t>
  </si>
  <si>
    <t>##ApproachStart##-Lancamento-filme-1709-Space-Jam</t>
  </si>
  <si>
    <t>https://www.vivoplay.com.br/details/movie/piedade-16334028</t>
  </si>
  <si>
    <t>##ApproachStart##-Lancamento-filme-1709-Piedade</t>
  </si>
  <si>
    <t>##ApproachStart##-Vivo-valoriza-duolingo</t>
  </si>
  <si>
    <t>##ApproachStart##-Oferta-Nokia</t>
  </si>
  <si>
    <t>##ApproachStart##-Rentabilizacao-selfie-globoplay</t>
  </si>
  <si>
    <t>##ApproachStart##-Incentivo-contratacao-Playkids</t>
  </si>
  <si>
    <t>##ApproachStart##-Incentivo-Paramount-plus-Rio-Shore</t>
  </si>
  <si>
    <t>https://www.vivoplay.com.br/catalog/bilheteria-8538/colecoes-9278/velozes-e-furiosos-9287?index=0</t>
  </si>
  <si>
    <t>##ApproachStart##-Lancamento-filme-2409-Velozes-Furiosos-9</t>
  </si>
  <si>
    <t>https://www.vivoplay.com.br/catalog/bilheteria-8538/lancamentos-8285/todos-8334?index=0</t>
  </si>
  <si>
    <t>##ApproachStart##-Lancamento-filme-2409-Caminhos-memoria</t>
  </si>
  <si>
    <t>https://www.vivoplay.com.br/details/movie/crisis-dual-audio-16419265?tr=1</t>
  </si>
  <si>
    <t>##ApproachStart##-Lancamento-filme-2409-Crisis</t>
  </si>
  <si>
    <t>https://www.vivoplay.com.br/details/movie/16560100?tr=1</t>
  </si>
  <si>
    <t>https://www.vivoplay.com.br/details/movie/velozes-e-furiosos-4-15967802</t>
  </si>
  <si>
    <t>##ApproachStart##-Lancamento-filme-2409-Velozes-Furiosos-4</t>
  </si>
  <si>
    <t>##ApproachStart##-Lancamento-filme-2409-Velozes-Furiosos-Hobbs-Shaw</t>
  </si>
  <si>
    <t>https://www.vivoplay.com.br/details/movie/velozes-furiosos-15967129</t>
  </si>
  <si>
    <t>##ApproachStart##-Lancamento-filme-2409-Mais-Velozes-Mais-Furiosos</t>
  </si>
  <si>
    <t xml:space="preserve">##ApproachStart##-48horas-2109-controle </t>
  </si>
  <si>
    <t>##ApproachStart##-48horas-2109-pos</t>
  </si>
  <si>
    <t>http://lojaonline.vivo.com.br/vivostorefront/campaign?identifier=S20FE_Netflix</t>
  </si>
  <si>
    <t>https://lojaonline.vivo.com.br/vivostorefront/p/22018825</t>
  </si>
  <si>
    <t>https://www.vivo.com.br/para-voce/por-que-vivo/vivo-valoriza/resgates-inesqueciveis/resgate-shark-tank-brasil</t>
  </si>
  <si>
    <t>##ApproachStart##-Valoriza-resgate-Shark-Tank</t>
  </si>
  <si>
    <t>https://www.vivo.com.br/para-voce/produtos-e-servicos/smartphones/ofertas/galaxy-z-fold3-z-flip3</t>
  </si>
  <si>
    <t>##ApproachStart##-Pre-venda-Samsumg-ZFold3-ZFlip3</t>
  </si>
  <si>
    <t>##ApproachStart##-</t>
  </si>
  <si>
    <t>http://lojaonline.vivo.com.br/vivostorefront/campaign?identifier=E7power</t>
  </si>
  <si>
    <t>##ApproachStart##-Smartofertas-23-29set</t>
  </si>
  <si>
    <t>https://appstore.vivo.com.br/sc/br/vivostore/lp/d7244136-259e-4660-bdef-0472c41d2cc6/</t>
  </si>
  <si>
    <t>##ApproachStart##-Combo-disney-star</t>
  </si>
  <si>
    <t>https://www.vivo.com.br/para-voce/produtos-e-servicos/ofertas/vivo-pets</t>
  </si>
  <si>
    <t>##ApproachStart##-Iniciativas-Vivo-Pets-Conheca</t>
  </si>
  <si>
    <t>https://meu.vivo/XQZm/vvadtpet</t>
  </si>
  <si>
    <t>##ApproachStart##-Iniciativas-Vivo-Pets-Adocao</t>
  </si>
  <si>
    <t>https://lojaonline.vivo.com.br/vivostorefront/Vivo/Acess%C3%B3rios/Casa-Conectada/c/casaconectada?_ga=2.220122905.1404481060.1632138280-1464776913.1631904048</t>
  </si>
  <si>
    <t>##ApproachStart##-Iniciativas-Vivo-Pets-Pet-Tech</t>
  </si>
  <si>
    <t>https://www.loja.vivo.com.br/vivo-pets?_ga=2.220122905.1404481060.1632138280-1464776913.1631904048</t>
  </si>
  <si>
    <t>##ApproachStart##-Iniciativas-Vivo-Pets-Vivo-Shopping</t>
  </si>
  <si>
    <t>##ApproachStart##-Iniciativas-Vivo-Pets-Loja-Pet-Friendly</t>
  </si>
  <si>
    <t>##ApproachStart##-Tracking-Vendas-Movel-Status-Compra</t>
  </si>
  <si>
    <t>##ApproachStart##-Tracking-Vendas-Movel-Status-Cancelamento</t>
  </si>
  <si>
    <t>##ApproachStart##-Tracking-Vendas-Movel-Entrega-Nao-Concluida</t>
  </si>
  <si>
    <t>##ApproachStart##-Tracking-Vendas-Movel-Aviso-Importante</t>
  </si>
  <si>
    <t>##ApproachStart##-Tracking-Vendas-Movel-Pedido-Faturado</t>
  </si>
  <si>
    <t>##ApproachStart##-Tracking-Vendas-Movel-Pedido-Enviado</t>
  </si>
  <si>
    <t>##ApproachStart##-Tracking-Vendas-Movel-Pedido-Entregue</t>
  </si>
  <si>
    <t>https://lojaonline.vivo.com.br/vivostorefront/Vivo/p/22018185</t>
  </si>
  <si>
    <t>##ApproachStart##-Vivo-Smart-Wi-Fi</t>
  </si>
  <si>
    <t>##ApproachStart##-Inauguracao-loja-cj</t>
  </si>
  <si>
    <t>https://lojaonline.vivo.com.br/vivostorefront/p/22020237</t>
  </si>
  <si>
    <t>##ApproachStart##-Lancamento-Gadgets-Samsung</t>
  </si>
  <si>
    <t>https://lojaonline.vivo.com.br/vivostorefront/Vivo/Acess%C3%B3rios/c/lancamentosamsungwatch4</t>
  </si>
  <si>
    <t>https://lojaonline.vivo.com.br/vivostorefront/Vivo/Aparelhos/Smartphone/SSG-R895F-SMART-WATCH-4-CLASSIC-46mm-PT/p/TGSA41964000</t>
  </si>
  <si>
    <t>http://www.vivoid.vivo.com.br/</t>
  </si>
  <si>
    <t>##ApproachStart##-Vivo-id</t>
  </si>
  <si>
    <t>##ApproachStart##-Atributo-Meu-Vivo-Lembrete-Fatura-1</t>
  </si>
  <si>
    <t>##ApproachStart##-Atributo-Meu-Vivo-Lembrete-Fatura-2</t>
  </si>
  <si>
    <t>##ApproachStart##-Pos-Venda-Compre-Ganhe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</si>
</sst>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1.0"/>
      <color theme="1"/>
      <name val="Arial"/>
    </font>
    <font>
      <b/>
      <sz val="10.0"/>
      <color rgb="FF434343"/>
      <name val="Arial"/>
    </font>
    <font>
      <sz val="10.0"/>
      <color rgb="FFEFEFEF"/>
      <name val="Arial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Calibri"/>
    </font>
    <font>
      <sz val="10.0"/>
      <color rgb="FF000000"/>
      <name val="Arial"/>
    </font>
    <font>
      <sz val="11.0"/>
      <color theme="1"/>
      <name val="Calibri"/>
    </font>
    <font>
      <sz val="9.0"/>
      <color rgb="FF000000"/>
      <name val="Calibri"/>
    </font>
    <font>
      <b/>
      <sz val="16.0"/>
      <color rgb="FF6C2D9B"/>
      <name val="Arial"/>
    </font>
    <font>
      <b/>
      <sz val="10.0"/>
      <color rgb="FF595959"/>
      <name val="Arial"/>
    </font>
    <font>
      <b/>
      <sz val="10.0"/>
      <color rgb="FF6C2D9B"/>
      <name val="Arial"/>
    </font>
    <font>
      <sz val="10.0"/>
      <color rgb="FF6C2D9B"/>
      <name val="Arial"/>
    </font>
    <font>
      <b/>
      <sz val="12.0"/>
      <color rgb="FF434343"/>
      <name val="Arial"/>
    </font>
    <font>
      <b/>
      <sz val="8.0"/>
      <color rgb="FFEFEFEF"/>
      <name val="Arial"/>
    </font>
    <font>
      <b/>
      <sz val="8.0"/>
      <color rgb="FFFF0000"/>
      <name val="Arial"/>
    </font>
    <font>
      <sz val="10.0"/>
      <color rgb="FF434343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b/>
      <sz val="10.0"/>
      <color rgb="FF351C75"/>
      <name val="Arial"/>
    </font>
    <font>
      <u/>
      <color rgb="FF0000FF"/>
    </font>
    <font>
      <u/>
      <sz val="11.0"/>
      <color theme="10"/>
    </font>
    <font>
      <u/>
      <sz val="11.0"/>
      <color theme="10"/>
      <name val="Calibri"/>
    </font>
    <font>
      <u/>
      <color rgb="FF3367D6"/>
      <name val="Roboto"/>
    </font>
    <font>
      <sz val="11.0"/>
      <color rgb="FF000000"/>
      <name val="Calibri"/>
    </font>
    <font>
      <u/>
      <color rgb="FF4A5EB8"/>
    </font>
    <font>
      <color rgb="FF191919"/>
      <name val="Calibri"/>
    </font>
    <font>
      <u/>
      <sz val="11.0"/>
      <color rgb="FF5C75C5"/>
      <name val="Roboto"/>
    </font>
    <font>
      <u/>
      <color rgb="FF0B4CB4"/>
      <name val="Calibri"/>
    </font>
    <font>
      <u/>
      <color rgb="FF0B4CB4"/>
    </font>
    <font>
      <u/>
      <sz val="11.0"/>
      <color rgb="FF5C75C5"/>
      <name val="Roboto"/>
    </font>
    <font>
      <u/>
      <color rgb="FF4A5EB8"/>
    </font>
    <font>
      <sz val="11.0"/>
      <color rgb="FF212121"/>
      <name val="Roboto"/>
    </font>
    <font>
      <u/>
      <color rgb="FF4A5EB8"/>
    </font>
    <font>
      <u/>
      <sz val="11.0"/>
      <color rgb="FF212121"/>
      <name val="Roboto"/>
    </font>
    <font>
      <u/>
      <color rgb="FF1155CC"/>
    </font>
    <font>
      <u/>
      <sz val="8.0"/>
      <color rgb="FF000000"/>
      <name val="Calibri"/>
    </font>
    <font>
      <u/>
      <color rgb="FF0563C1"/>
      <name val="Calibri"/>
    </font>
    <font>
      <u/>
      <color theme="1"/>
      <name val="Calibri"/>
    </font>
    <font>
      <u/>
      <color rgb="FF4A5EB8"/>
    </font>
    <font>
      <u/>
      <color rgb="FF0000FF"/>
    </font>
    <font>
      <u/>
      <sz val="11.0"/>
      <color rgb="FF5C75C5"/>
      <name val="Roboto"/>
    </font>
    <font>
      <u/>
      <color rgb="FF191919"/>
    </font>
    <font>
      <u/>
      <color rgb="FF1155CC"/>
    </font>
    <font>
      <u/>
      <sz val="18.0"/>
      <color rgb="FF1155CC"/>
      <name val="Calibri"/>
    </font>
    <font>
      <u/>
      <sz val="12.0"/>
      <color rgb="FF000000"/>
      <name val="Calibri"/>
    </font>
    <font>
      <sz val="11.0"/>
      <color rgb="FF5C75C5"/>
      <name val="Roboto"/>
    </font>
    <font>
      <u/>
      <sz val="11.0"/>
      <color rgb="FFB32400"/>
      <name val="Roboto"/>
    </font>
    <font>
      <color rgb="FF4A5EB8"/>
      <name val="Calibri"/>
    </font>
    <font>
      <u/>
      <color rgb="FF4A5EB8"/>
    </font>
    <font>
      <u/>
      <sz val="11.0"/>
      <color rgb="FF5C75C5"/>
      <name val="Roboto"/>
    </font>
    <font>
      <u/>
      <color rgb="FF5C75C5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7F7F7"/>
        <bgColor rgb="FFF7F7F7"/>
      </patternFill>
    </fill>
    <fill>
      <patternFill patternType="solid">
        <fgColor rgb="FFE7E6E6"/>
        <bgColor rgb="FFE7E6E6"/>
      </patternFill>
    </fill>
    <fill>
      <patternFill patternType="solid">
        <fgColor rgb="FF595959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0C0C0C"/>
        <bgColor rgb="FF0C0C0C"/>
      </patternFill>
    </fill>
    <fill>
      <patternFill patternType="solid">
        <fgColor rgb="FF1D0C2A"/>
        <bgColor rgb="FF1D0C2A"/>
      </patternFill>
    </fill>
    <fill>
      <patternFill patternType="solid">
        <fgColor rgb="FF461D65"/>
        <bgColor rgb="FF461D65"/>
      </patternFill>
    </fill>
    <fill>
      <patternFill patternType="solid">
        <fgColor rgb="FF6C2D9B"/>
        <bgColor rgb="FF6C2D9B"/>
      </patternFill>
    </fill>
    <fill>
      <patternFill patternType="solid">
        <fgColor rgb="FFA364D2"/>
        <bgColor rgb="FFA364D2"/>
      </patternFill>
    </fill>
    <fill>
      <patternFill patternType="solid">
        <fgColor rgb="FFCAA5E5"/>
        <bgColor rgb="FFCAA5E5"/>
      </patternFill>
    </fill>
    <fill>
      <patternFill patternType="solid">
        <fgColor rgb="FFDEC7EF"/>
        <bgColor rgb="FFDEC7EF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F8F8F8"/>
        <bgColor rgb="FFF8F8F8"/>
      </patternFill>
    </fill>
  </fills>
  <borders count="36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bottom style="medium">
        <color rgb="FF43434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43434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/>
      <top/>
      <bottom/>
    </border>
    <border>
      <top/>
      <bottom/>
    </border>
    <border>
      <left/>
      <right/>
      <top/>
      <bottom style="medium">
        <color rgb="FFD0CECE"/>
      </bottom>
    </border>
    <border>
      <left style="medium">
        <color rgb="FFD0CECE"/>
      </left>
      <right style="hair">
        <color rgb="FFD0CECE"/>
      </right>
      <top style="medium">
        <color rgb="FFD0CECE"/>
      </top>
      <bottom style="hair">
        <color rgb="FFD0CECE"/>
      </bottom>
    </border>
    <border>
      <left style="hair">
        <color rgb="FFD0CECE"/>
      </left>
      <right style="medium">
        <color rgb="FFD0CECE"/>
      </right>
      <top style="medium">
        <color rgb="FFD0CECE"/>
      </top>
      <bottom style="hair">
        <color rgb="FFD0CECE"/>
      </bottom>
    </border>
    <border>
      <left style="medium">
        <color rgb="FFD0CECE"/>
      </left>
      <right style="hair">
        <color rgb="FFD0CECE"/>
      </right>
      <top style="hair">
        <color rgb="FFD0CECE"/>
      </top>
      <bottom style="hair">
        <color rgb="FFD0CECE"/>
      </bottom>
    </border>
    <border>
      <left style="hair">
        <color rgb="FFD0CECE"/>
      </left>
      <right style="medium">
        <color rgb="FFD0CECE"/>
      </right>
      <top style="hair">
        <color rgb="FFD0CECE"/>
      </top>
      <bottom style="hair">
        <color rgb="FFD0CECE"/>
      </bottom>
    </border>
    <border>
      <left style="medium">
        <color rgb="FFD0CECE"/>
      </left>
      <right style="hair">
        <color rgb="FFD0CECE"/>
      </right>
      <top style="hair">
        <color rgb="FFD0CECE"/>
      </top>
      <bottom style="medium">
        <color rgb="FFD0CECE"/>
      </bottom>
    </border>
    <border>
      <left style="hair">
        <color rgb="FFD0CECE"/>
      </left>
      <right style="medium">
        <color rgb="FFD0CECE"/>
      </right>
      <top style="hair">
        <color rgb="FFD0CECE"/>
      </top>
      <bottom style="medium">
        <color rgb="FFD0CECE"/>
      </bottom>
    </border>
    <border>
      <left/>
      <right style="medium">
        <color rgb="FFD0CECE"/>
      </right>
      <top/>
    </border>
    <border>
      <left style="medium">
        <color rgb="FFD0CECE"/>
      </left>
      <right style="hair">
        <color rgb="FFD0CECE"/>
      </right>
      <top style="hair">
        <color rgb="FFD0CECE"/>
      </top>
    </border>
    <border>
      <left style="hair">
        <color rgb="FFD0CECE"/>
      </left>
      <right style="medium">
        <color rgb="FFD0CECE"/>
      </right>
      <top style="hair">
        <color rgb="FFD0CECE"/>
      </top>
      <bottom/>
    </border>
    <border>
      <left/>
      <right style="medium">
        <color rgb="FFD0CECE"/>
      </right>
    </border>
    <border>
      <left style="medium">
        <color rgb="FFD0CECE"/>
      </left>
      <right style="hair">
        <color rgb="FFD0CECE"/>
      </right>
      <bottom style="hair">
        <color rgb="FFD0CECE"/>
      </bottom>
    </border>
    <border>
      <left style="hair">
        <color rgb="FFD0CECE"/>
      </left>
      <right style="medium">
        <color rgb="FFD0CECE"/>
      </right>
      <top/>
      <bottom style="hair">
        <color rgb="FFD0CECE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medium">
        <color rgb="FF7030A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7030A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/>
    </xf>
    <xf borderId="3" fillId="4" fontId="3" numFmtId="0" xfId="0" applyAlignment="1" applyBorder="1" applyFill="1" applyFont="1">
      <alignment horizontal="center"/>
    </xf>
    <xf borderId="4" fillId="5" fontId="3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6" fontId="3" numFmtId="0" xfId="0" applyAlignment="1" applyBorder="1" applyFill="1" applyFont="1">
      <alignment horizontal="center"/>
    </xf>
    <xf borderId="7" fillId="7" fontId="3" numFmtId="0" xfId="0" applyAlignment="1" applyBorder="1" applyFill="1" applyFont="1">
      <alignment horizontal="center"/>
    </xf>
    <xf borderId="8" fillId="8" fontId="5" numFmtId="0" xfId="0" applyBorder="1" applyFill="1" applyFont="1"/>
    <xf borderId="0" fillId="0" fontId="6" numFmtId="0" xfId="0" applyFont="1"/>
    <xf borderId="0" fillId="0" fontId="7" numFmtId="0" xfId="0" applyFont="1"/>
    <xf borderId="9" fillId="0" fontId="4" numFmtId="0" xfId="0" applyBorder="1" applyFont="1"/>
    <xf borderId="10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 shrinkToFit="0" wrapText="1"/>
    </xf>
    <xf borderId="0" fillId="0" fontId="5" numFmtId="0" xfId="0" applyFont="1"/>
    <xf borderId="11" fillId="0" fontId="8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2" fillId="0" fontId="8" numFmtId="0" xfId="0" applyAlignment="1" applyBorder="1" applyFont="1">
      <alignment horizontal="left"/>
    </xf>
    <xf borderId="12" fillId="0" fontId="7" numFmtId="0" xfId="0" applyAlignment="1" applyBorder="1" applyFont="1">
      <alignment horizontal="left"/>
    </xf>
    <xf borderId="13" fillId="0" fontId="9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11" fillId="0" fontId="7" numFmtId="0" xfId="0" applyAlignment="1" applyBorder="1" applyFont="1">
      <alignment horizontal="left"/>
    </xf>
    <xf borderId="14" fillId="0" fontId="9" numFmtId="0" xfId="0" applyAlignment="1" applyBorder="1" applyFont="1">
      <alignment horizontal="left"/>
    </xf>
    <xf borderId="11" fillId="0" fontId="7" numFmtId="0" xfId="0" applyBorder="1" applyFont="1"/>
    <xf borderId="0" fillId="0" fontId="9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/>
    </xf>
    <xf borderId="15" fillId="0" fontId="9" numFmtId="0" xfId="0" applyAlignment="1" applyBorder="1" applyFont="1">
      <alignment horizontal="left"/>
    </xf>
    <xf borderId="12" fillId="0" fontId="8" numFmtId="0" xfId="0" applyBorder="1" applyFont="1"/>
    <xf borderId="11" fillId="0" fontId="8" numFmtId="0" xfId="0" applyBorder="1" applyFont="1"/>
    <xf borderId="16" fillId="9" fontId="7" numFmtId="0" xfId="0" applyBorder="1" applyFill="1" applyFont="1"/>
    <xf borderId="17" fillId="0" fontId="4" numFmtId="0" xfId="0" applyBorder="1" applyFont="1"/>
    <xf borderId="8" fillId="9" fontId="7" numFmtId="0" xfId="0" applyBorder="1" applyFont="1"/>
    <xf borderId="18" fillId="9" fontId="10" numFmtId="0" xfId="0" applyAlignment="1" applyBorder="1" applyFont="1">
      <alignment vertical="center"/>
    </xf>
    <xf borderId="18" fillId="9" fontId="7" numFmtId="0" xfId="0" applyBorder="1" applyFont="1"/>
    <xf borderId="8" fillId="9" fontId="11" numFmtId="0" xfId="0" applyBorder="1" applyFont="1"/>
    <xf borderId="19" fillId="9" fontId="12" numFmtId="0" xfId="0" applyAlignment="1" applyBorder="1" applyFont="1">
      <alignment vertical="center"/>
    </xf>
    <xf borderId="20" fillId="9" fontId="13" numFmtId="0" xfId="0" applyAlignment="1" applyBorder="1" applyFont="1">
      <alignment shrinkToFit="0" vertical="center" wrapText="1"/>
    </xf>
    <xf borderId="21" fillId="9" fontId="12" numFmtId="0" xfId="0" applyAlignment="1" applyBorder="1" applyFont="1">
      <alignment vertical="center"/>
    </xf>
    <xf borderId="22" fillId="9" fontId="13" numFmtId="0" xfId="0" applyAlignment="1" applyBorder="1" applyFont="1">
      <alignment shrinkToFit="0" vertical="center" wrapText="1"/>
    </xf>
    <xf borderId="23" fillId="9" fontId="12" numFmtId="0" xfId="0" applyAlignment="1" applyBorder="1" applyFont="1">
      <alignment vertical="center"/>
    </xf>
    <xf borderId="24" fillId="9" fontId="13" numFmtId="0" xfId="0" applyAlignment="1" applyBorder="1" applyFont="1">
      <alignment shrinkToFit="0" vertical="center" wrapText="1"/>
    </xf>
    <xf borderId="20" fillId="9" fontId="13" numFmtId="0" xfId="0" applyAlignment="1" applyBorder="1" applyFont="1">
      <alignment vertical="center"/>
    </xf>
    <xf borderId="22" fillId="9" fontId="13" numFmtId="0" xfId="0" applyAlignment="1" applyBorder="1" applyFont="1">
      <alignment vertical="center"/>
    </xf>
    <xf borderId="25" fillId="9" fontId="7" numFmtId="0" xfId="0" applyBorder="1" applyFont="1"/>
    <xf borderId="26" fillId="9" fontId="12" numFmtId="0" xfId="0" applyAlignment="1" applyBorder="1" applyFont="1">
      <alignment vertical="center"/>
    </xf>
    <xf borderId="27" fillId="9" fontId="13" numFmtId="0" xfId="0" applyAlignment="1" applyBorder="1" applyFont="1">
      <alignment shrinkToFit="0" vertical="center" wrapText="1"/>
    </xf>
    <xf borderId="28" fillId="0" fontId="4" numFmtId="0" xfId="0" applyBorder="1" applyFont="1"/>
    <xf borderId="29" fillId="0" fontId="4" numFmtId="0" xfId="0" applyBorder="1" applyFont="1"/>
    <xf borderId="30" fillId="9" fontId="13" numFmtId="0" xfId="0" applyAlignment="1" applyBorder="1" applyFont="1">
      <alignment shrinkToFit="0" vertical="center" wrapText="1"/>
    </xf>
    <xf borderId="8" fillId="10" fontId="14" numFmtId="0" xfId="0" applyAlignment="1" applyBorder="1" applyFill="1" applyFont="1">
      <alignment horizontal="left" vertical="center"/>
    </xf>
    <xf borderId="31" fillId="11" fontId="15" numFmtId="0" xfId="0" applyAlignment="1" applyBorder="1" applyFill="1" applyFont="1">
      <alignment horizontal="center" vertical="center"/>
    </xf>
    <xf borderId="32" fillId="0" fontId="4" numFmtId="0" xfId="0" applyBorder="1" applyFont="1"/>
    <xf borderId="31" fillId="12" fontId="16" numFmtId="0" xfId="0" applyAlignment="1" applyBorder="1" applyFill="1" applyFont="1">
      <alignment horizontal="center"/>
    </xf>
    <xf borderId="8" fillId="9" fontId="5" numFmtId="0" xfId="0" applyBorder="1" applyFont="1"/>
    <xf borderId="8" fillId="9" fontId="17" numFmtId="0" xfId="0" applyBorder="1" applyFont="1"/>
    <xf borderId="8" fillId="9" fontId="8" numFmtId="0" xfId="0" applyBorder="1" applyFont="1"/>
    <xf borderId="8" fillId="13" fontId="8" numFmtId="0" xfId="0" applyBorder="1" applyFill="1" applyFont="1"/>
    <xf borderId="1" fillId="14" fontId="18" numFmtId="0" xfId="0" applyAlignment="1" applyBorder="1" applyFill="1" applyFont="1">
      <alignment horizontal="center" vertical="center"/>
    </xf>
    <xf borderId="3" fillId="15" fontId="18" numFmtId="0" xfId="0" applyAlignment="1" applyBorder="1" applyFill="1" applyFont="1">
      <alignment horizontal="center"/>
    </xf>
    <xf borderId="3" fillId="16" fontId="19" numFmtId="0" xfId="0" applyAlignment="1" applyBorder="1" applyFill="1" applyFont="1">
      <alignment horizontal="center"/>
    </xf>
    <xf borderId="4" fillId="17" fontId="18" numFmtId="0" xfId="0" applyAlignment="1" applyBorder="1" applyFill="1" applyFont="1">
      <alignment horizontal="center"/>
    </xf>
    <xf borderId="33" fillId="17" fontId="18" numFmtId="0" xfId="0" applyAlignment="1" applyBorder="1" applyFont="1">
      <alignment horizontal="center"/>
    </xf>
    <xf borderId="7" fillId="18" fontId="20" numFmtId="0" xfId="0" applyAlignment="1" applyBorder="1" applyFill="1" applyFont="1">
      <alignment horizontal="center"/>
    </xf>
    <xf borderId="7" fillId="19" fontId="20" numFmtId="0" xfId="0" applyAlignment="1" applyBorder="1" applyFill="1" applyFont="1">
      <alignment horizontal="center"/>
    </xf>
    <xf borderId="8" fillId="20" fontId="20" numFmtId="0" xfId="0" applyAlignment="1" applyBorder="1" applyFill="1" applyFont="1">
      <alignment horizontal="center" vertical="center"/>
    </xf>
    <xf borderId="34" fillId="0" fontId="4" numFmtId="0" xfId="0" applyBorder="1" applyFont="1"/>
    <xf borderId="35" fillId="14" fontId="18" numFmtId="0" xfId="0" applyAlignment="1" applyBorder="1" applyFont="1">
      <alignment horizontal="center" shrinkToFit="0" vertical="center" wrapText="1"/>
    </xf>
    <xf borderId="8" fillId="9" fontId="8" numFmtId="0" xfId="0" applyAlignment="1" applyBorder="1" applyFont="1">
      <alignment shrinkToFit="0" vertical="center" wrapText="1"/>
    </xf>
    <xf borderId="8" fillId="9" fontId="17" numFmtId="0" xfId="0" applyAlignment="1" applyBorder="1" applyFont="1">
      <alignment shrinkToFit="0" vertical="center" wrapText="1"/>
    </xf>
    <xf borderId="8" fillId="13" fontId="8" numFmtId="0" xfId="0" applyAlignment="1" applyBorder="1" applyFont="1">
      <alignment shrinkToFit="0" vertical="center" wrapText="1"/>
    </xf>
    <xf borderId="0" fillId="0" fontId="21" numFmtId="0" xfId="0" applyFont="1"/>
    <xf borderId="0" fillId="0" fontId="22" numFmtId="0" xfId="0" applyFont="1"/>
    <xf borderId="0" fillId="0" fontId="8" numFmtId="0" xfId="0" applyAlignment="1" applyFont="1">
      <alignment horizontal="center"/>
    </xf>
    <xf borderId="0" fillId="0" fontId="23" numFmtId="0" xfId="0" applyFont="1"/>
    <xf borderId="0" fillId="21" fontId="24" numFmtId="0" xfId="0" applyAlignment="1" applyFill="1" applyFont="1">
      <alignment horizontal="left"/>
    </xf>
    <xf borderId="0" fillId="0" fontId="25" numFmtId="0" xfId="0" applyAlignment="1" applyFont="1">
      <alignment shrinkToFit="0" vertical="bottom" wrapText="0"/>
    </xf>
    <xf borderId="0" fillId="22" fontId="26" numFmtId="0" xfId="0" applyFill="1" applyFont="1"/>
    <xf borderId="0" fillId="22" fontId="27" numFmtId="0" xfId="0" applyFont="1"/>
    <xf borderId="0" fillId="0" fontId="28" numFmtId="0" xfId="0" applyAlignment="1" applyFont="1">
      <alignment horizontal="left"/>
    </xf>
    <xf borderId="0" fillId="22" fontId="29" numFmtId="0" xfId="0" applyAlignment="1" applyFont="1">
      <alignment horizontal="center"/>
    </xf>
    <xf borderId="0" fillId="22" fontId="30" numFmtId="0" xfId="0" applyAlignment="1" applyFont="1">
      <alignment horizontal="center"/>
    </xf>
    <xf borderId="0" fillId="0" fontId="31" numFmtId="0" xfId="0" applyFont="1"/>
    <xf borderId="0" fillId="21" fontId="32" numFmtId="0" xfId="0" applyFont="1"/>
    <xf borderId="0" fillId="21" fontId="33" numFmtId="0" xfId="0" applyFont="1"/>
    <xf borderId="0" fillId="0" fontId="34" numFmtId="0" xfId="0" applyFont="1"/>
    <xf borderId="0" fillId="23" fontId="35" numFmtId="0" xfId="0" applyFill="1" applyFont="1"/>
    <xf borderId="0" fillId="0" fontId="36" numFmtId="0" xfId="0" applyFont="1"/>
    <xf borderId="0" fillId="0" fontId="37" numFmtId="0" xfId="0" applyAlignment="1" applyFont="1">
      <alignment horizontal="center"/>
    </xf>
    <xf borderId="0" fillId="0" fontId="38" numFmtId="0" xfId="0" applyAlignment="1" applyFont="1">
      <alignment shrinkToFit="0" vertical="bottom" wrapText="0"/>
    </xf>
    <xf borderId="0" fillId="0" fontId="39" numFmtId="0" xfId="0" applyFont="1"/>
    <xf borderId="0" fillId="22" fontId="4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22" fontId="43" numFmtId="0" xfId="0" applyAlignment="1" applyFont="1">
      <alignment readingOrder="0"/>
    </xf>
    <xf borderId="0" fillId="22" fontId="27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horizontal="left" readingOrder="0"/>
    </xf>
    <xf borderId="0" fillId="0" fontId="46" numFmtId="0" xfId="0" applyAlignment="1" applyFont="1">
      <alignment horizontal="left"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23" fontId="33" numFmtId="0" xfId="0" applyFont="1"/>
    <xf borderId="0" fillId="22" fontId="49" numFmtId="0" xfId="0" applyAlignment="1" applyFont="1">
      <alignment readingOrder="0"/>
    </xf>
    <xf borderId="0" fillId="23" fontId="33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51" numFmtId="0" xfId="0" applyAlignment="1" applyFont="1">
      <alignment horizontal="left" readingOrder="0"/>
    </xf>
    <xf borderId="0" fillId="0" fontId="5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314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0</xdr:row>
      <xdr:rowOff>200025</xdr:rowOff>
    </xdr:from>
    <xdr:ext cx="9429750" cy="838200"/>
    <xdr:sp>
      <xdr:nvSpPr>
        <xdr:cNvPr id="3" name="Shape 3"/>
        <xdr:cNvSpPr txBox="1"/>
      </xdr:nvSpPr>
      <xdr:spPr>
        <a:xfrm>
          <a:off x="635888" y="3365663"/>
          <a:ext cx="9420225" cy="828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ORIENTAÇÕES</a:t>
          </a:r>
          <a:r>
            <a:rPr b="1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2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Inserir a URL de destino completa (exemplo: https://...);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Os campos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Source, Medium e Campaing são obrigatórios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Por favor, insira os valores correspondentes para que seja exibida a URL Parametrizada;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A URL Parametrizada será automaticamente exibida quando todos os campos obrigatórios forem preenchidos.</a:t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247650</xdr:rowOff>
    </xdr:from>
    <xdr:ext cx="695325" cy="666750"/>
    <xdr:pic>
      <xdr:nvPicPr>
        <xdr:cNvPr descr="Web design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19050</xdr:rowOff>
    </xdr:from>
    <xdr:ext cx="609600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ivo.com.br/para-voce/ajuda/mais-ajuda/encontre-uma-loja" TargetMode="External"/><Relationship Id="rId42" Type="http://schemas.openxmlformats.org/officeDocument/2006/relationships/hyperlink" Target="https://lojaonline.vivo.com.br/" TargetMode="External"/><Relationship Id="rId41" Type="http://schemas.openxmlformats.org/officeDocument/2006/relationships/hyperlink" Target="https://www.vivo.com.br/para-voce/ajuda/mais-ajuda/encontre-uma-loja" TargetMode="External"/><Relationship Id="rId44" Type="http://schemas.openxmlformats.org/officeDocument/2006/relationships/hyperlink" Target="https://conteudo.skeelo.app/vivo?utm_source=vivo&amp;utm_medium=null&amp;utm_campaign=incentivo_cadastro" TargetMode="External"/><Relationship Id="rId43" Type="http://schemas.openxmlformats.org/officeDocument/2006/relationships/hyperlink" Target="http://www.vivo.com.br/portaldeservico" TargetMode="External"/><Relationship Id="rId46" Type="http://schemas.openxmlformats.org/officeDocument/2006/relationships/hyperlink" Target="https://www.vivo.com.br/para-voce/produtos-e-servicos/smartphones/ofertas/galaxy-zfold3-flip3-5g" TargetMode="External"/><Relationship Id="rId45" Type="http://schemas.openxmlformats.org/officeDocument/2006/relationships/hyperlink" Target="https://conteudo.skeelo.app/vivo?utm_source=vivo&amp;utm_medium=null&amp;utm_campaign=incentivo_cadastro" TargetMode="External"/><Relationship Id="rId48" Type="http://schemas.openxmlformats.org/officeDocument/2006/relationships/hyperlink" Target="https://vivo.tl/vel" TargetMode="External"/><Relationship Id="rId47" Type="http://schemas.openxmlformats.org/officeDocument/2006/relationships/hyperlink" Target="http://vivo.com.br/" TargetMode="External"/><Relationship Id="rId49" Type="http://schemas.openxmlformats.org/officeDocument/2006/relationships/hyperlink" Target="https://appstore.vivo.com.br/sc/br/vivostore/detalle/telecine/62647/2046" TargetMode="External"/><Relationship Id="rId100" Type="http://schemas.openxmlformats.org/officeDocument/2006/relationships/vmlDrawing" Target="../drawings/vmlDrawing2.vml"/><Relationship Id="rId31" Type="http://schemas.openxmlformats.org/officeDocument/2006/relationships/hyperlink" Target="http://lojaonline.vivo.com.br/vivostorefront/campaign?identifier=nokia54" TargetMode="External"/><Relationship Id="rId30" Type="http://schemas.openxmlformats.org/officeDocument/2006/relationships/hyperlink" Target="https://vivo.tl/acessemvfixo" TargetMode="External"/><Relationship Id="rId33" Type="http://schemas.openxmlformats.org/officeDocument/2006/relationships/hyperlink" Target="https://lojaonline.vivo.com.br/vivostorefront/p/22019621" TargetMode="External"/><Relationship Id="rId32" Type="http://schemas.openxmlformats.org/officeDocument/2006/relationships/hyperlink" Target="http://lojaonline.vivo.com.br/vivostorefront/campaign?identifier=Moto_G30_Netflix" TargetMode="External"/><Relationship Id="rId35" Type="http://schemas.openxmlformats.org/officeDocument/2006/relationships/hyperlink" Target="https://lojaonline.vivo.com.br/vivostorefront/p/BGSA38554007" TargetMode="External"/><Relationship Id="rId34" Type="http://schemas.openxmlformats.org/officeDocument/2006/relationships/hyperlink" Target="https://lojaonline.vivo.com.br/vivostorefront/p/TGSA38364000" TargetMode="External"/><Relationship Id="rId37" Type="http://schemas.openxmlformats.org/officeDocument/2006/relationships/hyperlink" Target="http://vivo.com.br/vivoemcasa" TargetMode="External"/><Relationship Id="rId36" Type="http://schemas.openxmlformats.org/officeDocument/2006/relationships/hyperlink" Target="https://lojaonline.vivo.com.br/vivostorefront/Vivo/Acess%C3%B3rios/Games/c/vivogames" TargetMode="External"/><Relationship Id="rId39" Type="http://schemas.openxmlformats.org/officeDocument/2006/relationships/hyperlink" Target="https://www.vivo.com.br/para-voce/ajuda/mais-ajuda/encontre-uma-loja" TargetMode="External"/><Relationship Id="rId38" Type="http://schemas.openxmlformats.org/officeDocument/2006/relationships/hyperlink" Target="http://lojaonline.vivo.com.br/vivostorefront/campaign?identifier=lgk41s-controle%C2%A0" TargetMode="External"/><Relationship Id="rId20" Type="http://schemas.openxmlformats.org/officeDocument/2006/relationships/hyperlink" Target="https://www.vivo.com.br/para-voce/produtos-e-servicos/servicos-digitais/apps-no-plano-de-celular/aplicativo-btfit" TargetMode="External"/><Relationship Id="rId22" Type="http://schemas.openxmlformats.org/officeDocument/2006/relationships/hyperlink" Target="http://www.appstore.vivo.com.br" TargetMode="External"/><Relationship Id="rId21" Type="http://schemas.openxmlformats.org/officeDocument/2006/relationships/hyperlink" Target="http://lojaonline.vivo.com.br/vivostorefront?site=vivo" TargetMode="External"/><Relationship Id="rId24" Type="http://schemas.openxmlformats.org/officeDocument/2006/relationships/hyperlink" Target="https://www.vivoplay.com.br/details/movie/infinite-dual-audio-16028186" TargetMode="External"/><Relationship Id="rId23" Type="http://schemas.openxmlformats.org/officeDocument/2006/relationships/hyperlink" Target="https://www.vivoplay.com.br/catalog/bilheteria-8538/lancamentos-8285" TargetMode="External"/><Relationship Id="rId26" Type="http://schemas.openxmlformats.org/officeDocument/2006/relationships/hyperlink" Target="https://vivoemdia.vivo.com.br/" TargetMode="External"/><Relationship Id="rId25" Type="http://schemas.openxmlformats.org/officeDocument/2006/relationships/hyperlink" Target="https://www.vivoplay.com.br/details/movie/wander-dual-audio-16140023" TargetMode="External"/><Relationship Id="rId28" Type="http://schemas.openxmlformats.org/officeDocument/2006/relationships/hyperlink" Target="http://www.vivoplataformadigital.com.br" TargetMode="External"/><Relationship Id="rId27" Type="http://schemas.openxmlformats.org/officeDocument/2006/relationships/hyperlink" Target="https://www.vivo.com.br/para-voce/ajuda/mais-ajuda/encontre-uma-loja" TargetMode="External"/><Relationship Id="rId29" Type="http://schemas.openxmlformats.org/officeDocument/2006/relationships/hyperlink" Target="https://app.mindminers.com/r/PTRUCLM" TargetMode="External"/><Relationship Id="rId95" Type="http://schemas.openxmlformats.org/officeDocument/2006/relationships/hyperlink" Target="https://lojaonline.vivo.com.br/vivostorefront/p/22020237" TargetMode="External"/><Relationship Id="rId94" Type="http://schemas.openxmlformats.org/officeDocument/2006/relationships/hyperlink" Target="https://lojaonline.vivo.com.br/vivostorefront/Vivo/p/22018185" TargetMode="External"/><Relationship Id="rId97" Type="http://schemas.openxmlformats.org/officeDocument/2006/relationships/hyperlink" Target="https://lojaonline.vivo.com.br/vivostorefront/Vivo/Aparelhos/Smartphone/SSG-R895F-SMART-WATCH-4-CLASSIC-46mm-PT/p/TGSA41964000" TargetMode="External"/><Relationship Id="rId96" Type="http://schemas.openxmlformats.org/officeDocument/2006/relationships/hyperlink" Target="https://lojaonline.vivo.com.br/vivostorefront/Vivo/Acess%C3%B3rios/c/lancamentosamsungwatch4" TargetMode="External"/><Relationship Id="rId11" Type="http://schemas.openxmlformats.org/officeDocument/2006/relationships/hyperlink" Target="https://arizonavisto.taskrow.com/%C2%A0https://lojaonline.vivo.com.br/vivostorefront/p/22019548" TargetMode="External"/><Relationship Id="rId99" Type="http://schemas.openxmlformats.org/officeDocument/2006/relationships/drawing" Target="../drawings/drawing3.xml"/><Relationship Id="rId10" Type="http://schemas.openxmlformats.org/officeDocument/2006/relationships/hyperlink" Target="https://arizonavisto.taskrow.com/%C2%A0https://lojaonline.vivo.com.br/vivostorefront/p/22019547" TargetMode="External"/><Relationship Id="rId98" Type="http://schemas.openxmlformats.org/officeDocument/2006/relationships/hyperlink" Target="http://www.vivoid.vivo.com.br/" TargetMode="External"/><Relationship Id="rId13" Type="http://schemas.openxmlformats.org/officeDocument/2006/relationships/hyperlink" Target="https://meu.vivo/XQZm/ad87d185" TargetMode="External"/><Relationship Id="rId12" Type="http://schemas.openxmlformats.org/officeDocument/2006/relationships/hyperlink" Target="https://arizonavisto.taskrow.com/%C2%A0https://lojaonline.vivo.com.br/vivostorefront/p/22019720" TargetMode="External"/><Relationship Id="rId91" Type="http://schemas.openxmlformats.org/officeDocument/2006/relationships/hyperlink" Target="https://lojaonline.vivo.com.br/vivostorefront/Vivo/Acess%C3%B3rios/Casa-Conectada/c/casaconectada?_ga=2.220122905.1404481060.1632138280-1464776913.1631904048%C2%A0" TargetMode="External"/><Relationship Id="rId90" Type="http://schemas.openxmlformats.org/officeDocument/2006/relationships/hyperlink" Target="https://meu.vivo/XQZm/vvadtpet" TargetMode="External"/><Relationship Id="rId93" Type="http://schemas.openxmlformats.org/officeDocument/2006/relationships/hyperlink" Target="https://www.vivo.com.br/para-voce/produtos-e-servicos/ofertas/vivo-pets" TargetMode="External"/><Relationship Id="rId92" Type="http://schemas.openxmlformats.org/officeDocument/2006/relationships/hyperlink" Target="https://www.loja.vivo.com.br/vivo-pets?_ga=2.220122905.1404481060.1632138280-1464776913.1631904048%C2%A0" TargetMode="External"/><Relationship Id="rId15" Type="http://schemas.openxmlformats.org/officeDocument/2006/relationships/hyperlink" Target="https://lojaonline.vivo.com.br/vivostorefront/" TargetMode="External"/><Relationship Id="rId14" Type="http://schemas.openxmlformats.org/officeDocument/2006/relationships/hyperlink" Target="https://lojaonline.vivo.com.br/movel/orders/list" TargetMode="External"/><Relationship Id="rId17" Type="http://schemas.openxmlformats.org/officeDocument/2006/relationships/hyperlink" Target="https://meu.vivo/XQZm/4cc56d5e" TargetMode="External"/><Relationship Id="rId16" Type="http://schemas.openxmlformats.org/officeDocument/2006/relationships/hyperlink" Target="https://lojaonline.vivo.com.br/vivostorefront/" TargetMode="External"/><Relationship Id="rId19" Type="http://schemas.openxmlformats.org/officeDocument/2006/relationships/hyperlink" Target="https://vivoemdia.vivo.com.br/" TargetMode="External"/><Relationship Id="rId18" Type="http://schemas.openxmlformats.org/officeDocument/2006/relationships/hyperlink" Target="https://www.vivo.com.br/para-empresas/meu-vivo-empresas" TargetMode="External"/><Relationship Id="rId84" Type="http://schemas.openxmlformats.org/officeDocument/2006/relationships/hyperlink" Target="https://lojaonline.vivo.com.br/vivostorefront/p/22018825" TargetMode="External"/><Relationship Id="rId83" Type="http://schemas.openxmlformats.org/officeDocument/2006/relationships/hyperlink" Target="http://lojaonline.vivo.com.br/vivostorefront/campaign?identifier=S20FE_Netflix" TargetMode="External"/><Relationship Id="rId86" Type="http://schemas.openxmlformats.org/officeDocument/2006/relationships/hyperlink" Target="https://www.vivo.com.br/para-voce/produtos-e-servicos/smartphones/ofertas/galaxy-z-fold3-z-flip3" TargetMode="External"/><Relationship Id="rId85" Type="http://schemas.openxmlformats.org/officeDocument/2006/relationships/hyperlink" Target="https://www.vivo.com.br/para-voce/por-que-vivo/vivo-valoriza/resgates-inesqueciveis/resgate-shark-tank-brasil" TargetMode="External"/><Relationship Id="rId88" Type="http://schemas.openxmlformats.org/officeDocument/2006/relationships/hyperlink" Target="https://appstore.vivo.com.br/sc/br/vivostore/lp/d7244136-259e-4660-bdef-0472c41d2cc6/" TargetMode="External"/><Relationship Id="rId87" Type="http://schemas.openxmlformats.org/officeDocument/2006/relationships/hyperlink" Target="http://lojaonline.vivo.com.br/vivostorefront/campaign?identifier=E7power" TargetMode="External"/><Relationship Id="rId89" Type="http://schemas.openxmlformats.org/officeDocument/2006/relationships/hyperlink" Target="https://www.vivo.com.br/para-voce/produtos-e-servicos/ofertas/vivo-pets%C2%A0" TargetMode="External"/><Relationship Id="rId80" Type="http://schemas.openxmlformats.org/officeDocument/2006/relationships/hyperlink" Target="http://lojaonline.vivo.com.br/vivostorefront/campaign?identifier=MOTO_E7_PLUS_CONTROLE" TargetMode="External"/><Relationship Id="rId82" Type="http://schemas.openxmlformats.org/officeDocument/2006/relationships/hyperlink" Target="https://www.vivo.com.br/para-voce/ajuda/mais-ajuda/encontre-uma-loja" TargetMode="External"/><Relationship Id="rId81" Type="http://schemas.openxmlformats.org/officeDocument/2006/relationships/hyperlink" Target="https://www.vivo.com.br/para-voce/ajuda/mais-ajuda/encontre-uma-loja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vivo.com.br/para-voce/produtos-e-servicos/ofertas/cartao-vivo-itaucard" TargetMode="External"/><Relationship Id="rId3" Type="http://schemas.openxmlformats.org/officeDocument/2006/relationships/hyperlink" Target="https://lojaonline.vivo.com.br/vivostorefront/p/22019585" TargetMode="External"/><Relationship Id="rId4" Type="http://schemas.openxmlformats.org/officeDocument/2006/relationships/hyperlink" Target="https://lojaonline.vivo.com.br/vivostorefront/p/22019711" TargetMode="External"/><Relationship Id="rId9" Type="http://schemas.openxmlformats.org/officeDocument/2006/relationships/hyperlink" Target="https://arizonavisto.taskrow.com/%C2%A0https://lojaonline.vivo.com.br/vivostorefront/p/22019617" TargetMode="External"/><Relationship Id="rId5" Type="http://schemas.openxmlformats.org/officeDocument/2006/relationships/hyperlink" Target="http://lojaonline.vivo.com.br/vivostorefront/campaign?identifier=motoe764gb_controle" TargetMode="External"/><Relationship Id="rId6" Type="http://schemas.openxmlformats.org/officeDocument/2006/relationships/hyperlink" Target="https://arizonavisto.taskrow.com/%C2%A0https://lojaonline.vivo.com.br/vivostorefront/p/22020031" TargetMode="External"/><Relationship Id="rId7" Type="http://schemas.openxmlformats.org/officeDocument/2006/relationships/hyperlink" Target="https://arizonavisto.taskrow.com/%C2%A0https://lojaonline.vivo.com.br/vivostorefront/p/22018931" TargetMode="External"/><Relationship Id="rId8" Type="http://schemas.openxmlformats.org/officeDocument/2006/relationships/hyperlink" Target="https://arizonavisto.taskrow.com/%C2%A0https://lojaonline.vivo.com.br/vivostorefront/p/22019616" TargetMode="External"/><Relationship Id="rId73" Type="http://schemas.openxmlformats.org/officeDocument/2006/relationships/hyperlink" Target="https://www.vivoplay.com.br/catalog/bilheteria-8538/colecoes-9278/velozes-e-furiosos-9287?index=0" TargetMode="External"/><Relationship Id="rId72" Type="http://schemas.openxmlformats.org/officeDocument/2006/relationships/hyperlink" Target="http://lojaonline.vivo.com.br/vivostorefront/campaign?identifier=Nokia24_Controle%C2%A0" TargetMode="External"/><Relationship Id="rId75" Type="http://schemas.openxmlformats.org/officeDocument/2006/relationships/hyperlink" Target="https://www.vivoplay.com.br/details/movie/crisis-dual-audio-16419265?tr=1" TargetMode="External"/><Relationship Id="rId74" Type="http://schemas.openxmlformats.org/officeDocument/2006/relationships/hyperlink" Target="https://www.vivoplay.com.br/catalog/bilheteria-8538/lancamentos-8285/todos-8334?index=0" TargetMode="External"/><Relationship Id="rId77" Type="http://schemas.openxmlformats.org/officeDocument/2006/relationships/hyperlink" Target="https://www.vivoplay.com.br/details/movie/velozes-e-furiosos-4-15967802" TargetMode="External"/><Relationship Id="rId76" Type="http://schemas.openxmlformats.org/officeDocument/2006/relationships/hyperlink" Target="https://www.vivoplay.com.br/details/movie/16560100?tr=1" TargetMode="External"/><Relationship Id="rId79" Type="http://schemas.openxmlformats.org/officeDocument/2006/relationships/hyperlink" Target="https://www.vivoplay.com.br/details/movie/velozes-furiosos-15967129" TargetMode="External"/><Relationship Id="rId78" Type="http://schemas.openxmlformats.org/officeDocument/2006/relationships/hyperlink" Target="https://www.vivoplay.com.br/catalog/bilheteria-8538/colecoes-9278/velozes-e-furiosos-9287?index=0" TargetMode="External"/><Relationship Id="rId71" Type="http://schemas.openxmlformats.org/officeDocument/2006/relationships/hyperlink" Target="https://www.vivoplay.com.br/details/movie/piedade-16334028" TargetMode="External"/><Relationship Id="rId70" Type="http://schemas.openxmlformats.org/officeDocument/2006/relationships/hyperlink" Target="https://www.vivoplay.com.br/details/movie/space-jam-um-novo-legado-16106994" TargetMode="External"/><Relationship Id="rId62" Type="http://schemas.openxmlformats.org/officeDocument/2006/relationships/hyperlink" Target="https://lojaonline.vivo.com.br/vivostorefront/p/22019596" TargetMode="External"/><Relationship Id="rId61" Type="http://schemas.openxmlformats.org/officeDocument/2006/relationships/hyperlink" Target="https://lojaonline.vivo.com.br/vivostorefront/p/22019807" TargetMode="External"/><Relationship Id="rId64" Type="http://schemas.openxmlformats.org/officeDocument/2006/relationships/hyperlink" Target="https://lojaonline.vivo.com.br/vivostorefront/p/22019616" TargetMode="External"/><Relationship Id="rId63" Type="http://schemas.openxmlformats.org/officeDocument/2006/relationships/hyperlink" Target="https://lojaonline.vivo.com.br/vivostorefront/p/22018931" TargetMode="External"/><Relationship Id="rId66" Type="http://schemas.openxmlformats.org/officeDocument/2006/relationships/hyperlink" Target="https://www.vivoplay.com.br/details/movie/15319676" TargetMode="External"/><Relationship Id="rId65" Type="http://schemas.openxmlformats.org/officeDocument/2006/relationships/hyperlink" Target="https://www.vivoplay.com.br/details/movie/o-esquadrao-suicida-dual-audio-16462943?tr=1" TargetMode="External"/><Relationship Id="rId68" Type="http://schemas.openxmlformats.org/officeDocument/2006/relationships/hyperlink" Target="https://www.vivoplay.com.br/details/movie/espiral-o-legado-de-jogos-mortais-dual-audio-16420678" TargetMode="External"/><Relationship Id="rId67" Type="http://schemas.openxmlformats.org/officeDocument/2006/relationships/hyperlink" Target="https://www.vivoplay.com.br/details/movie/pequenos-vestigios-dual-audio-16462945?tr=1" TargetMode="External"/><Relationship Id="rId60" Type="http://schemas.openxmlformats.org/officeDocument/2006/relationships/hyperlink" Target="http://lojaonline.vivo.com.br/vivostorefront/campaign?identifier=s21-Ultra-60fam%C2%A0" TargetMode="External"/><Relationship Id="rId69" Type="http://schemas.openxmlformats.org/officeDocument/2006/relationships/hyperlink" Target="https://www.vivoplay.com.br/details/movie/os-croods-2-uma-nova-era-dual-audio-16212088" TargetMode="External"/><Relationship Id="rId51" Type="http://schemas.openxmlformats.org/officeDocument/2006/relationships/hyperlink" Target="https://www.vivo.com.br/para-voce/ajuda/mais-ajuda/encontre-uma-loja" TargetMode="External"/><Relationship Id="rId50" Type="http://schemas.openxmlformats.org/officeDocument/2006/relationships/hyperlink" Target="https://www.vivo.com.br/para-voce/produtos-e-servicos/para-casa/internet/planos-de-internet-vivo-fibra/apps-de-conteudo/telecine" TargetMode="External"/><Relationship Id="rId53" Type="http://schemas.openxmlformats.org/officeDocument/2006/relationships/hyperlink" Target="http://lojaonline.vivo.com.br/vivostorefront/campaign?identifier=Nokia24_Controle%C2%A0" TargetMode="External"/><Relationship Id="rId52" Type="http://schemas.openxmlformats.org/officeDocument/2006/relationships/hyperlink" Target="http://lojaonline.vivo.com.br/vivostorefront/campaign?identifier=MOTO_E7_PLUS_CONTROLE" TargetMode="External"/><Relationship Id="rId55" Type="http://schemas.openxmlformats.org/officeDocument/2006/relationships/hyperlink" Target="https://lojaonline.vivo.com.br/vivostorefront/p/22019556" TargetMode="External"/><Relationship Id="rId54" Type="http://schemas.openxmlformats.org/officeDocument/2006/relationships/hyperlink" Target="https://lojaonline.vivo.com.br/vivostorefront/p/22019068" TargetMode="External"/><Relationship Id="rId57" Type="http://schemas.openxmlformats.org/officeDocument/2006/relationships/hyperlink" Target="https://lojaonline.vivo.com.br/vivostorefront/p/22019635" TargetMode="External"/><Relationship Id="rId56" Type="http://schemas.openxmlformats.org/officeDocument/2006/relationships/hyperlink" Target="https://lojaonline.vivo.com.br/vivostorefront/p/22019665" TargetMode="External"/><Relationship Id="rId59" Type="http://schemas.openxmlformats.org/officeDocument/2006/relationships/hyperlink" Target="http://lojaonline.vivo.com.br/vivostorefront/campaign?identifier=nokia54" TargetMode="External"/><Relationship Id="rId58" Type="http://schemas.openxmlformats.org/officeDocument/2006/relationships/hyperlink" Target="https://www.vivo.com.br/para-voce/ajuda/mais-ajuda/encontre-uma-lo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5"/>
    <col customWidth="1" min="3" max="3" width="16.5"/>
    <col customWidth="1" min="4" max="4" width="16.0"/>
    <col customWidth="1" min="5" max="5" width="19.38"/>
    <col customWidth="1" min="6" max="6" width="10.75"/>
    <col customWidth="1" min="7" max="7" width="8.25"/>
    <col customWidth="1" min="8" max="8" width="9.5"/>
    <col customWidth="1" min="9" max="9" width="10.75"/>
    <col customWidth="1" min="10" max="10" width="17.75"/>
    <col customWidth="1" min="11" max="11" width="11.38"/>
    <col customWidth="1" min="12" max="12" width="8.88"/>
    <col customWidth="1" min="13" max="13" width="17.0"/>
    <col customWidth="1" min="14" max="14" width="15.88"/>
    <col customWidth="1" min="15" max="15" width="17.88"/>
    <col customWidth="1" min="16" max="16" width="20.25"/>
    <col customWidth="1" min="17" max="17" width="18.5"/>
    <col customWidth="1" min="18" max="18" width="21.75"/>
    <col customWidth="1" min="19" max="19" width="22.88"/>
    <col customWidth="1" min="20" max="20" width="11.5"/>
    <col customWidth="1" min="21" max="21" width="11.0"/>
    <col customWidth="1" min="22" max="28" width="7.63"/>
    <col customWidth="1" min="29" max="29" width="21.63"/>
    <col customWidth="1" min="30" max="30" width="16.88"/>
  </cols>
  <sheetData>
    <row r="1" ht="14.25" customHeight="1">
      <c r="B1" s="1" t="s">
        <v>0</v>
      </c>
      <c r="C1" s="2" t="s">
        <v>1</v>
      </c>
      <c r="D1" s="3" t="s">
        <v>2</v>
      </c>
      <c r="E1" s="4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7" t="s">
        <v>4</v>
      </c>
      <c r="V1" s="5"/>
      <c r="W1" s="5"/>
      <c r="X1" s="6"/>
      <c r="Y1" s="8" t="s">
        <v>5</v>
      </c>
      <c r="Z1" s="6"/>
      <c r="AA1" s="9"/>
      <c r="AB1" s="10" t="s">
        <v>6</v>
      </c>
      <c r="AC1" s="11" t="s">
        <v>7</v>
      </c>
      <c r="AD1" s="11" t="s">
        <v>7</v>
      </c>
    </row>
    <row r="2" ht="14.25" customHeight="1">
      <c r="B2" s="12"/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3" t="s">
        <v>15</v>
      </c>
      <c r="K2" s="13" t="s">
        <v>16</v>
      </c>
      <c r="L2" s="14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3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/>
      <c r="Z2" s="13"/>
      <c r="AA2" s="13" t="s">
        <v>30</v>
      </c>
      <c r="AB2" s="13" t="s">
        <v>31</v>
      </c>
      <c r="AC2" s="13" t="s">
        <v>32</v>
      </c>
      <c r="AD2" s="13" t="s">
        <v>33</v>
      </c>
    </row>
    <row r="3" ht="14.25" customHeight="1">
      <c r="B3" s="15"/>
      <c r="C3" s="16" t="s">
        <v>34</v>
      </c>
      <c r="D3" s="16" t="s">
        <v>34</v>
      </c>
      <c r="E3" s="17"/>
      <c r="F3" s="16" t="s">
        <v>34</v>
      </c>
      <c r="G3" s="16" t="s">
        <v>34</v>
      </c>
      <c r="H3" s="16" t="s">
        <v>34</v>
      </c>
      <c r="I3" s="16" t="s">
        <v>34</v>
      </c>
      <c r="J3" s="16" t="s">
        <v>34</v>
      </c>
      <c r="K3" s="18" t="s">
        <v>34</v>
      </c>
      <c r="L3" s="15" t="s">
        <v>35</v>
      </c>
      <c r="M3" s="15" t="s">
        <v>36</v>
      </c>
      <c r="N3" s="15" t="s">
        <v>37</v>
      </c>
      <c r="O3" s="15" t="s">
        <v>38</v>
      </c>
      <c r="P3" s="15" t="s">
        <v>39</v>
      </c>
      <c r="Q3" s="15" t="s">
        <v>40</v>
      </c>
      <c r="R3" s="15" t="s">
        <v>41</v>
      </c>
      <c r="S3" s="15"/>
      <c r="T3" s="15"/>
      <c r="U3" s="17"/>
      <c r="V3" s="17"/>
      <c r="W3" s="17"/>
      <c r="X3" s="17"/>
      <c r="Y3" s="17"/>
      <c r="Z3" s="17"/>
      <c r="AA3" s="17"/>
      <c r="AB3" s="10" t="s">
        <v>34</v>
      </c>
      <c r="AC3" s="10" t="s">
        <v>34</v>
      </c>
      <c r="AD3" s="10" t="s">
        <v>34</v>
      </c>
    </row>
    <row r="4" ht="14.25" customHeight="1">
      <c r="C4" s="19" t="s">
        <v>42</v>
      </c>
      <c r="D4" s="16" t="s">
        <v>43</v>
      </c>
      <c r="F4" s="20" t="s">
        <v>44</v>
      </c>
      <c r="G4" s="20" t="s">
        <v>45</v>
      </c>
      <c r="H4" s="20" t="s">
        <v>46</v>
      </c>
      <c r="I4" s="20" t="s">
        <v>47</v>
      </c>
      <c r="J4" s="15" t="s">
        <v>48</v>
      </c>
      <c r="K4" s="15" t="s">
        <v>49</v>
      </c>
      <c r="L4" s="15" t="s">
        <v>50</v>
      </c>
      <c r="M4" s="15" t="s">
        <v>51</v>
      </c>
      <c r="N4" s="15" t="s">
        <v>52</v>
      </c>
      <c r="O4" s="15" t="s">
        <v>53</v>
      </c>
      <c r="P4" s="15" t="s">
        <v>54</v>
      </c>
      <c r="Q4" s="15" t="s">
        <v>55</v>
      </c>
      <c r="R4" s="15" t="s">
        <v>56</v>
      </c>
      <c r="S4" s="15"/>
      <c r="T4" s="15"/>
      <c r="AA4" s="21" t="s">
        <v>57</v>
      </c>
      <c r="AB4" s="10" t="s">
        <v>58</v>
      </c>
      <c r="AC4" s="10" t="s">
        <v>59</v>
      </c>
      <c r="AD4" s="10" t="s">
        <v>60</v>
      </c>
    </row>
    <row r="5" ht="14.25" customHeight="1">
      <c r="C5" s="22" t="s">
        <v>61</v>
      </c>
      <c r="D5" s="22" t="s">
        <v>62</v>
      </c>
      <c r="F5" s="23" t="s">
        <v>63</v>
      </c>
      <c r="G5" s="23" t="s">
        <v>64</v>
      </c>
      <c r="H5" s="23" t="s">
        <v>65</v>
      </c>
      <c r="I5" s="23" t="s">
        <v>66</v>
      </c>
      <c r="J5" s="15" t="s">
        <v>67</v>
      </c>
      <c r="K5" s="15" t="s">
        <v>68</v>
      </c>
      <c r="L5" s="15"/>
      <c r="M5" s="15" t="s">
        <v>69</v>
      </c>
      <c r="N5" s="15" t="s">
        <v>70</v>
      </c>
      <c r="O5" s="15" t="s">
        <v>71</v>
      </c>
      <c r="P5" s="15" t="s">
        <v>72</v>
      </c>
      <c r="Q5" s="15" t="s">
        <v>73</v>
      </c>
      <c r="R5" s="15" t="s">
        <v>74</v>
      </c>
      <c r="S5" s="15"/>
      <c r="T5" s="15"/>
      <c r="AA5" s="21" t="s">
        <v>75</v>
      </c>
      <c r="AB5" s="10" t="s">
        <v>76</v>
      </c>
      <c r="AC5" s="10" t="s">
        <v>77</v>
      </c>
      <c r="AD5" s="10" t="s">
        <v>78</v>
      </c>
    </row>
    <row r="6" ht="14.25" customHeight="1">
      <c r="C6" s="24" t="s">
        <v>79</v>
      </c>
      <c r="D6" s="22" t="s">
        <v>80</v>
      </c>
      <c r="F6" s="23" t="s">
        <v>81</v>
      </c>
      <c r="G6" s="23" t="s">
        <v>82</v>
      </c>
      <c r="H6" s="23" t="s">
        <v>83</v>
      </c>
      <c r="I6" s="23" t="s">
        <v>83</v>
      </c>
      <c r="J6" s="15" t="s">
        <v>47</v>
      </c>
      <c r="K6" s="15" t="s">
        <v>83</v>
      </c>
      <c r="L6" s="15"/>
      <c r="M6" s="15" t="s">
        <v>84</v>
      </c>
      <c r="N6" s="15" t="s">
        <v>85</v>
      </c>
      <c r="O6" s="15" t="s">
        <v>86</v>
      </c>
      <c r="P6" s="15" t="s">
        <v>87</v>
      </c>
      <c r="Q6" s="15" t="s">
        <v>88</v>
      </c>
      <c r="R6" s="15" t="s">
        <v>89</v>
      </c>
      <c r="S6" s="15"/>
      <c r="T6" s="15"/>
      <c r="AB6" s="10" t="s">
        <v>90</v>
      </c>
      <c r="AC6" s="10" t="s">
        <v>91</v>
      </c>
      <c r="AD6" s="11" t="s">
        <v>92</v>
      </c>
    </row>
    <row r="7" ht="14.25" customHeight="1">
      <c r="C7" s="19" t="s">
        <v>93</v>
      </c>
      <c r="D7" s="22" t="s">
        <v>94</v>
      </c>
      <c r="G7" s="25"/>
      <c r="H7" s="23" t="s">
        <v>95</v>
      </c>
      <c r="I7" s="23" t="s">
        <v>96</v>
      </c>
      <c r="J7" s="15" t="s">
        <v>97</v>
      </c>
      <c r="K7" s="15" t="s">
        <v>98</v>
      </c>
      <c r="L7" s="15"/>
      <c r="M7" s="15" t="s">
        <v>99</v>
      </c>
      <c r="N7" s="15" t="s">
        <v>100</v>
      </c>
      <c r="O7" s="15" t="s">
        <v>101</v>
      </c>
      <c r="P7" s="15"/>
      <c r="Q7" s="15" t="s">
        <v>102</v>
      </c>
      <c r="R7" s="15" t="s">
        <v>103</v>
      </c>
      <c r="S7" s="15"/>
      <c r="T7" s="15"/>
      <c r="AC7" s="10" t="s">
        <v>104</v>
      </c>
      <c r="AD7" s="10" t="s">
        <v>105</v>
      </c>
    </row>
    <row r="8" ht="14.25" customHeight="1">
      <c r="C8" s="26" t="s">
        <v>106</v>
      </c>
      <c r="D8" s="16" t="s">
        <v>107</v>
      </c>
      <c r="H8" s="23" t="s">
        <v>108</v>
      </c>
      <c r="I8" s="23" t="s">
        <v>81</v>
      </c>
      <c r="J8" s="15" t="s">
        <v>65</v>
      </c>
      <c r="K8" s="27" t="s">
        <v>109</v>
      </c>
      <c r="L8" s="15"/>
      <c r="M8" s="15" t="s">
        <v>110</v>
      </c>
      <c r="N8" s="15" t="s">
        <v>111</v>
      </c>
      <c r="O8" s="15" t="s">
        <v>102</v>
      </c>
      <c r="P8" s="15"/>
      <c r="Q8" s="15"/>
      <c r="R8" s="15"/>
      <c r="S8" s="15"/>
      <c r="T8" s="15"/>
      <c r="AC8" s="10" t="s">
        <v>112</v>
      </c>
      <c r="AD8" s="10" t="s">
        <v>62</v>
      </c>
    </row>
    <row r="9" ht="14.25" customHeight="1">
      <c r="C9" s="22" t="s">
        <v>113</v>
      </c>
      <c r="D9" s="16" t="s">
        <v>114</v>
      </c>
      <c r="H9" s="23" t="s">
        <v>115</v>
      </c>
      <c r="I9" s="23" t="s">
        <v>115</v>
      </c>
      <c r="J9" s="10" t="s">
        <v>116</v>
      </c>
      <c r="K9" s="15" t="s">
        <v>117</v>
      </c>
      <c r="L9" s="15"/>
      <c r="M9" s="15" t="s">
        <v>118</v>
      </c>
      <c r="N9" s="15"/>
      <c r="O9" s="15" t="s">
        <v>119</v>
      </c>
      <c r="P9" s="15"/>
      <c r="Q9" s="15"/>
      <c r="R9" s="15"/>
      <c r="S9" s="15"/>
      <c r="T9" s="15"/>
      <c r="AC9" s="10" t="s">
        <v>120</v>
      </c>
      <c r="AD9" s="10" t="s">
        <v>121</v>
      </c>
    </row>
    <row r="10" ht="14.25" customHeight="1">
      <c r="C10" s="22" t="s">
        <v>122</v>
      </c>
      <c r="D10" s="22" t="s">
        <v>123</v>
      </c>
      <c r="H10" s="23" t="s">
        <v>124</v>
      </c>
      <c r="I10" s="23" t="s">
        <v>125</v>
      </c>
      <c r="J10" s="15" t="s">
        <v>126</v>
      </c>
      <c r="K10" s="15" t="s">
        <v>127</v>
      </c>
      <c r="L10" s="15"/>
      <c r="M10" s="15" t="s">
        <v>128</v>
      </c>
      <c r="N10" s="15"/>
      <c r="O10" s="15"/>
      <c r="P10" s="15"/>
      <c r="Q10" s="15"/>
      <c r="R10" s="15"/>
      <c r="S10" s="15"/>
      <c r="T10" s="15"/>
      <c r="AC10" s="10" t="s">
        <v>129</v>
      </c>
      <c r="AD10" s="10" t="s">
        <v>130</v>
      </c>
    </row>
    <row r="11" ht="14.25" customHeight="1">
      <c r="C11" s="18" t="s">
        <v>131</v>
      </c>
      <c r="D11" s="19" t="s">
        <v>132</v>
      </c>
      <c r="H11" s="28" t="s">
        <v>133</v>
      </c>
      <c r="I11" s="23" t="s">
        <v>134</v>
      </c>
      <c r="J11" s="15" t="s">
        <v>135</v>
      </c>
      <c r="K11" s="15" t="s">
        <v>136</v>
      </c>
      <c r="L11" s="15"/>
      <c r="M11" s="15"/>
      <c r="N11" s="15"/>
      <c r="O11" s="15"/>
      <c r="P11" s="15"/>
      <c r="Q11" s="15"/>
      <c r="R11" s="15"/>
      <c r="S11" s="15"/>
      <c r="T11" s="15"/>
      <c r="AC11" s="10" t="s">
        <v>137</v>
      </c>
      <c r="AD11" s="10" t="s">
        <v>138</v>
      </c>
    </row>
    <row r="12" ht="14.25" customHeight="1">
      <c r="C12" s="22" t="s">
        <v>139</v>
      </c>
      <c r="D12" s="19" t="s">
        <v>140</v>
      </c>
      <c r="H12" s="28" t="s">
        <v>141</v>
      </c>
      <c r="I12" s="23" t="s">
        <v>142</v>
      </c>
      <c r="J12" s="15" t="s">
        <v>143</v>
      </c>
      <c r="K12" s="15" t="s">
        <v>144</v>
      </c>
      <c r="L12" s="15"/>
      <c r="M12" s="15"/>
      <c r="N12" s="15"/>
      <c r="O12" s="15"/>
      <c r="P12" s="15"/>
      <c r="Q12" s="15"/>
      <c r="R12" s="15"/>
      <c r="S12" s="15"/>
      <c r="T12" s="15"/>
      <c r="AC12" s="10" t="s">
        <v>145</v>
      </c>
      <c r="AD12" s="10" t="s">
        <v>146</v>
      </c>
    </row>
    <row r="13" ht="14.25" customHeight="1">
      <c r="C13" s="16" t="s">
        <v>147</v>
      </c>
      <c r="D13" s="22" t="s">
        <v>148</v>
      </c>
      <c r="I13" s="23" t="s">
        <v>149</v>
      </c>
      <c r="J13" s="10" t="s">
        <v>150</v>
      </c>
      <c r="K13" s="15" t="s">
        <v>151</v>
      </c>
      <c r="L13" s="15"/>
      <c r="M13" s="15"/>
      <c r="N13" s="15"/>
      <c r="O13" s="15"/>
      <c r="P13" s="15"/>
      <c r="Q13" s="15"/>
      <c r="R13" s="15"/>
      <c r="S13" s="15"/>
      <c r="T13" s="15"/>
      <c r="AC13" s="10" t="s">
        <v>152</v>
      </c>
      <c r="AD13" s="10" t="s">
        <v>153</v>
      </c>
    </row>
    <row r="14" ht="14.25" customHeight="1">
      <c r="C14" s="29" t="s">
        <v>154</v>
      </c>
      <c r="D14" s="16" t="s">
        <v>155</v>
      </c>
      <c r="I14" s="23" t="s">
        <v>156</v>
      </c>
      <c r="J14" s="15" t="s">
        <v>108</v>
      </c>
      <c r="K14" s="15" t="s">
        <v>157</v>
      </c>
      <c r="L14" s="15"/>
      <c r="M14" s="15"/>
      <c r="N14" s="15"/>
      <c r="O14" s="15"/>
      <c r="P14" s="15"/>
      <c r="Q14" s="15"/>
      <c r="R14" s="15"/>
      <c r="S14" s="15"/>
      <c r="T14" s="15"/>
      <c r="AC14" s="10" t="s">
        <v>158</v>
      </c>
      <c r="AD14" s="10" t="s">
        <v>159</v>
      </c>
    </row>
    <row r="15" ht="14.25" customHeight="1">
      <c r="B15" s="16"/>
      <c r="C15" s="18" t="s">
        <v>160</v>
      </c>
      <c r="D15" s="22" t="s">
        <v>161</v>
      </c>
      <c r="I15" s="23" t="s">
        <v>162</v>
      </c>
      <c r="J15" s="10" t="s">
        <v>163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AC15" s="10" t="s">
        <v>164</v>
      </c>
      <c r="AD15" s="10" t="s">
        <v>165</v>
      </c>
    </row>
    <row r="16" ht="14.25" customHeight="1">
      <c r="B16" s="16"/>
      <c r="C16" s="18" t="s">
        <v>166</v>
      </c>
      <c r="D16" s="19" t="s">
        <v>167</v>
      </c>
      <c r="I16" s="23" t="s">
        <v>168</v>
      </c>
      <c r="J16" s="10" t="s">
        <v>169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AC16" s="10" t="s">
        <v>130</v>
      </c>
      <c r="AD16" s="10" t="s">
        <v>170</v>
      </c>
    </row>
    <row r="17" ht="14.25" customHeight="1">
      <c r="B17" s="16"/>
      <c r="C17" s="19" t="s">
        <v>132</v>
      </c>
      <c r="D17" s="22" t="s">
        <v>171</v>
      </c>
      <c r="I17" s="23" t="s">
        <v>172</v>
      </c>
      <c r="J17" s="15" t="s">
        <v>173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AC17" s="10" t="s">
        <v>174</v>
      </c>
      <c r="AD17" s="10" t="s">
        <v>175</v>
      </c>
    </row>
    <row r="18" ht="14.25" customHeight="1">
      <c r="B18" s="16"/>
      <c r="C18" s="16" t="s">
        <v>176</v>
      </c>
      <c r="D18" s="18" t="s">
        <v>177</v>
      </c>
      <c r="I18" s="23" t="s">
        <v>178</v>
      </c>
      <c r="J18" s="15" t="s">
        <v>179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AC18" s="10" t="s">
        <v>180</v>
      </c>
      <c r="AD18" s="10" t="s">
        <v>181</v>
      </c>
    </row>
    <row r="19" ht="14.25" customHeight="1">
      <c r="B19" s="16"/>
      <c r="C19" s="30" t="s">
        <v>182</v>
      </c>
      <c r="D19" s="27" t="s">
        <v>183</v>
      </c>
      <c r="I19" s="23" t="s">
        <v>136</v>
      </c>
      <c r="J19" s="10" t="s">
        <v>184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AC19" s="10" t="s">
        <v>185</v>
      </c>
      <c r="AD19" s="10" t="s">
        <v>186</v>
      </c>
    </row>
    <row r="20" ht="14.25" customHeight="1">
      <c r="B20" s="18"/>
      <c r="C20" s="26" t="s">
        <v>187</v>
      </c>
      <c r="D20" s="26" t="s">
        <v>188</v>
      </c>
      <c r="I20" s="23" t="s">
        <v>189</v>
      </c>
      <c r="J20" s="10" t="s">
        <v>190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AC20" s="10" t="s">
        <v>191</v>
      </c>
      <c r="AD20" s="10" t="s">
        <v>192</v>
      </c>
    </row>
    <row r="21" ht="14.25" customHeight="1">
      <c r="B21" s="18"/>
      <c r="C21" s="26" t="s">
        <v>193</v>
      </c>
      <c r="D21" s="26" t="s">
        <v>194</v>
      </c>
      <c r="I21" s="23" t="s">
        <v>195</v>
      </c>
      <c r="J21" s="10" t="s">
        <v>142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AC21" s="10" t="s">
        <v>196</v>
      </c>
      <c r="AD21" s="10" t="s">
        <v>197</v>
      </c>
    </row>
    <row r="22" ht="14.25" customHeight="1">
      <c r="C22" s="10" t="s">
        <v>198</v>
      </c>
      <c r="D22" s="10" t="s">
        <v>78</v>
      </c>
      <c r="I22" s="23" t="s">
        <v>199</v>
      </c>
      <c r="J22" s="10" t="s">
        <v>200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AC22" s="10" t="s">
        <v>201</v>
      </c>
      <c r="AD22" s="10" t="s">
        <v>140</v>
      </c>
    </row>
    <row r="23" ht="14.25" customHeight="1">
      <c r="C23" s="10" t="s">
        <v>202</v>
      </c>
      <c r="I23" s="28" t="s">
        <v>203</v>
      </c>
      <c r="J23" s="15" t="s">
        <v>204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AC23" s="10" t="s">
        <v>205</v>
      </c>
      <c r="AD23" s="10" t="s">
        <v>155</v>
      </c>
    </row>
    <row r="24" ht="14.25" customHeight="1">
      <c r="C24" s="10" t="s">
        <v>206</v>
      </c>
      <c r="I24" s="28" t="s">
        <v>207</v>
      </c>
      <c r="J24" s="15" t="s">
        <v>208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AC24" s="10" t="s">
        <v>209</v>
      </c>
      <c r="AD24" s="10" t="s">
        <v>210</v>
      </c>
    </row>
    <row r="25" ht="14.25" customHeight="1">
      <c r="C25" s="27" t="s">
        <v>211</v>
      </c>
      <c r="I25" s="28" t="s">
        <v>212</v>
      </c>
      <c r="J25" s="15" t="s">
        <v>124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AC25" s="10" t="s">
        <v>213</v>
      </c>
      <c r="AD25" s="10" t="s">
        <v>214</v>
      </c>
    </row>
    <row r="26" ht="14.25" customHeight="1">
      <c r="C26" s="26" t="s">
        <v>215</v>
      </c>
      <c r="I26" s="28" t="s">
        <v>216</v>
      </c>
      <c r="J26" s="10" t="s">
        <v>217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AC26" s="10" t="s">
        <v>218</v>
      </c>
      <c r="AD26" s="10" t="s">
        <v>219</v>
      </c>
    </row>
    <row r="27" ht="14.25" customHeight="1">
      <c r="C27" s="26" t="s">
        <v>220</v>
      </c>
      <c r="I27" s="28" t="s">
        <v>221</v>
      </c>
      <c r="J27" s="10" t="s">
        <v>222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AC27" s="10" t="s">
        <v>223</v>
      </c>
      <c r="AD27" s="10" t="s">
        <v>224</v>
      </c>
    </row>
    <row r="28" ht="14.25" customHeight="1">
      <c r="C28" s="26" t="s">
        <v>225</v>
      </c>
      <c r="I28" s="28" t="s">
        <v>226</v>
      </c>
      <c r="J28" s="10" t="s">
        <v>168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AC28" s="10" t="s">
        <v>227</v>
      </c>
    </row>
    <row r="29" ht="14.25" customHeight="1">
      <c r="C29" s="26" t="s">
        <v>228</v>
      </c>
      <c r="I29" s="28" t="s">
        <v>229</v>
      </c>
      <c r="J29" s="15" t="s">
        <v>230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AC29" s="10" t="s">
        <v>231</v>
      </c>
    </row>
    <row r="30" ht="14.25" customHeight="1">
      <c r="C30" s="10" t="s">
        <v>232</v>
      </c>
      <c r="I30" s="28" t="s">
        <v>65</v>
      </c>
      <c r="J30" s="15" t="s">
        <v>233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AC30" s="10" t="s">
        <v>234</v>
      </c>
    </row>
    <row r="31" ht="14.25" customHeight="1">
      <c r="C31" s="26" t="s">
        <v>235</v>
      </c>
      <c r="I31" s="28" t="s">
        <v>236</v>
      </c>
      <c r="J31" s="10" t="s">
        <v>237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AC31" s="10" t="s">
        <v>238</v>
      </c>
    </row>
    <row r="32" ht="14.25" customHeight="1">
      <c r="I32" s="28" t="s">
        <v>141</v>
      </c>
      <c r="J32" s="15" t="s">
        <v>239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AC32" s="10" t="s">
        <v>240</v>
      </c>
    </row>
    <row r="33" ht="14.25" customHeight="1">
      <c r="J33" s="10" t="s">
        <v>241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AC33" s="10" t="s">
        <v>242</v>
      </c>
    </row>
    <row r="34" ht="14.25" customHeight="1">
      <c r="J34" s="15" t="s">
        <v>243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AC34" s="10" t="s">
        <v>244</v>
      </c>
    </row>
    <row r="35" ht="14.25" customHeight="1">
      <c r="J35" s="15" t="s">
        <v>245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AC35" s="10" t="s">
        <v>246</v>
      </c>
    </row>
    <row r="36" ht="14.25" customHeight="1">
      <c r="J36" s="10" t="s">
        <v>247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AC36" s="10" t="s">
        <v>248</v>
      </c>
    </row>
    <row r="37" ht="14.25" customHeight="1">
      <c r="J37" s="15" t="s">
        <v>249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AC37" s="10" t="s">
        <v>250</v>
      </c>
    </row>
    <row r="38" ht="14.25" customHeight="1">
      <c r="J38" s="15" t="s">
        <v>251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AC38" s="10" t="s">
        <v>252</v>
      </c>
    </row>
    <row r="39" ht="14.25" customHeight="1">
      <c r="J39" s="10" t="s">
        <v>253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AC39" s="10" t="s">
        <v>254</v>
      </c>
    </row>
    <row r="40" ht="14.25" customHeight="1">
      <c r="J40" s="15" t="s">
        <v>255</v>
      </c>
      <c r="AC40" s="10" t="s">
        <v>256</v>
      </c>
    </row>
    <row r="41" ht="14.25" customHeight="1">
      <c r="J41" s="15" t="s">
        <v>257</v>
      </c>
      <c r="AC41" s="10" t="s">
        <v>258</v>
      </c>
    </row>
    <row r="42" ht="14.25" customHeight="1">
      <c r="J42" s="15" t="s">
        <v>259</v>
      </c>
      <c r="AC42" s="10" t="s">
        <v>260</v>
      </c>
    </row>
    <row r="43" ht="14.25" customHeight="1">
      <c r="J43" s="15" t="s">
        <v>261</v>
      </c>
      <c r="AC43" s="10" t="s">
        <v>262</v>
      </c>
    </row>
    <row r="44" ht="14.25" customHeight="1">
      <c r="J44" s="15" t="s">
        <v>263</v>
      </c>
      <c r="AC44" s="10" t="s">
        <v>264</v>
      </c>
    </row>
    <row r="45" ht="14.25" customHeight="1">
      <c r="J45" s="15" t="s">
        <v>265</v>
      </c>
      <c r="AC45" s="10" t="s">
        <v>266</v>
      </c>
    </row>
    <row r="46" ht="14.25" customHeight="1">
      <c r="J46" s="15" t="s">
        <v>267</v>
      </c>
      <c r="AC46" s="10" t="s">
        <v>268</v>
      </c>
    </row>
    <row r="47" ht="14.25" customHeight="1">
      <c r="J47" s="10" t="s">
        <v>267</v>
      </c>
      <c r="AC47" s="10" t="s">
        <v>269</v>
      </c>
    </row>
    <row r="48" ht="14.25" customHeight="1">
      <c r="J48" s="15" t="s">
        <v>270</v>
      </c>
      <c r="AC48" s="10" t="s">
        <v>271</v>
      </c>
    </row>
    <row r="49" ht="14.25" customHeight="1">
      <c r="J49" s="15" t="s">
        <v>272</v>
      </c>
      <c r="AC49" s="10" t="s">
        <v>273</v>
      </c>
    </row>
    <row r="50" ht="14.25" customHeight="1">
      <c r="J50" s="15" t="s">
        <v>274</v>
      </c>
      <c r="AC50" s="10" t="s">
        <v>275</v>
      </c>
    </row>
    <row r="51" ht="14.25" customHeight="1">
      <c r="J51" s="15" t="s">
        <v>276</v>
      </c>
      <c r="AC51" s="10" t="s">
        <v>277</v>
      </c>
    </row>
    <row r="52" ht="14.25" customHeight="1">
      <c r="J52" s="15" t="s">
        <v>278</v>
      </c>
      <c r="AC52" s="10" t="s">
        <v>279</v>
      </c>
    </row>
    <row r="53" ht="14.25" customHeight="1">
      <c r="J53" s="15" t="s">
        <v>280</v>
      </c>
      <c r="AC53" s="10" t="s">
        <v>281</v>
      </c>
    </row>
    <row r="54" ht="14.25" customHeight="1">
      <c r="J54" s="15" t="s">
        <v>282</v>
      </c>
      <c r="AC54" s="10" t="s">
        <v>283</v>
      </c>
    </row>
    <row r="55" ht="14.25" customHeight="1">
      <c r="J55" s="10" t="s">
        <v>284</v>
      </c>
      <c r="AC55" s="10" t="s">
        <v>285</v>
      </c>
    </row>
    <row r="56" ht="14.25" customHeight="1">
      <c r="J56" s="15" t="s">
        <v>286</v>
      </c>
      <c r="AC56" s="10" t="s">
        <v>287</v>
      </c>
    </row>
    <row r="57" ht="14.25" customHeight="1">
      <c r="J57" s="15" t="s">
        <v>216</v>
      </c>
      <c r="AC57" s="10" t="s">
        <v>288</v>
      </c>
    </row>
    <row r="58" ht="14.25" customHeight="1">
      <c r="J58" s="15" t="s">
        <v>236</v>
      </c>
      <c r="AC58" s="10" t="s">
        <v>289</v>
      </c>
    </row>
    <row r="59" ht="14.25" customHeight="1">
      <c r="AC59" s="10" t="s">
        <v>290</v>
      </c>
    </row>
    <row r="60" ht="14.25" customHeight="1">
      <c r="AC60" s="10" t="s">
        <v>291</v>
      </c>
    </row>
    <row r="61" ht="14.25" customHeight="1">
      <c r="AC61" s="10" t="s">
        <v>292</v>
      </c>
    </row>
    <row r="62" ht="14.25" customHeight="1">
      <c r="AC62" s="10" t="s">
        <v>293</v>
      </c>
    </row>
    <row r="63" ht="14.25" customHeight="1">
      <c r="AC63" s="10" t="s">
        <v>294</v>
      </c>
    </row>
    <row r="64" ht="14.25" customHeight="1">
      <c r="AC64" s="10" t="s">
        <v>295</v>
      </c>
    </row>
    <row r="65" ht="14.25" customHeight="1">
      <c r="AC65" s="10" t="s">
        <v>296</v>
      </c>
    </row>
    <row r="66" ht="14.25" customHeight="1">
      <c r="AC66" s="10" t="s">
        <v>297</v>
      </c>
    </row>
    <row r="67" ht="14.25" customHeight="1">
      <c r="AC67" s="10" t="s">
        <v>298</v>
      </c>
    </row>
    <row r="68" ht="14.25" customHeight="1">
      <c r="AC68" s="10" t="s">
        <v>299</v>
      </c>
    </row>
    <row r="69" ht="14.25" customHeight="1">
      <c r="AC69" s="10" t="s">
        <v>300</v>
      </c>
    </row>
    <row r="70" ht="14.25" customHeight="1">
      <c r="AC70" s="10" t="s">
        <v>301</v>
      </c>
    </row>
    <row r="71" ht="14.25" customHeight="1">
      <c r="AC71" s="10" t="s">
        <v>302</v>
      </c>
    </row>
    <row r="72" ht="14.25" customHeight="1">
      <c r="AC72" s="10" t="s">
        <v>303</v>
      </c>
    </row>
    <row r="73" ht="14.25" customHeight="1">
      <c r="AC73" s="10" t="s">
        <v>304</v>
      </c>
    </row>
    <row r="74" ht="14.25" customHeight="1">
      <c r="AC74" s="10" t="s">
        <v>305</v>
      </c>
    </row>
    <row r="75" ht="14.25" customHeight="1">
      <c r="AC75" s="10" t="s">
        <v>306</v>
      </c>
    </row>
    <row r="76" ht="14.25" customHeight="1">
      <c r="AC76" s="10" t="s">
        <v>307</v>
      </c>
    </row>
    <row r="77" ht="14.25" customHeight="1">
      <c r="AC77" s="10" t="s">
        <v>308</v>
      </c>
    </row>
    <row r="78" ht="14.25" customHeight="1">
      <c r="AC78" s="10" t="s">
        <v>309</v>
      </c>
    </row>
    <row r="79" ht="14.25" customHeight="1">
      <c r="AC79" s="10" t="s">
        <v>310</v>
      </c>
    </row>
    <row r="80" ht="14.25" customHeight="1">
      <c r="AC80" s="10" t="s">
        <v>311</v>
      </c>
    </row>
    <row r="81" ht="14.25" customHeight="1">
      <c r="AC81" s="10" t="s">
        <v>312</v>
      </c>
    </row>
    <row r="82" ht="14.25" customHeight="1">
      <c r="AC82" s="10" t="s">
        <v>313</v>
      </c>
    </row>
    <row r="83" ht="14.25" customHeight="1">
      <c r="AC83" s="10" t="s">
        <v>314</v>
      </c>
    </row>
    <row r="84" ht="14.25" customHeight="1">
      <c r="AC84" s="10" t="s">
        <v>315</v>
      </c>
    </row>
    <row r="85" ht="14.25" customHeight="1">
      <c r="AC85" s="10" t="s">
        <v>316</v>
      </c>
    </row>
    <row r="86" ht="14.25" customHeight="1">
      <c r="AC86" s="10" t="s">
        <v>317</v>
      </c>
    </row>
    <row r="87" ht="14.25" customHeight="1">
      <c r="AC87" s="10" t="s">
        <v>318</v>
      </c>
    </row>
    <row r="88" ht="14.25" customHeight="1">
      <c r="AC88" s="10" t="s">
        <v>319</v>
      </c>
    </row>
    <row r="89" ht="14.25" customHeight="1">
      <c r="AC89" s="10" t="s">
        <v>320</v>
      </c>
    </row>
    <row r="90" ht="14.25" customHeight="1">
      <c r="AC90" s="10" t="s">
        <v>321</v>
      </c>
    </row>
    <row r="91" ht="14.25" customHeight="1">
      <c r="AC91" s="10" t="s">
        <v>322</v>
      </c>
    </row>
    <row r="92" ht="14.25" customHeight="1">
      <c r="AC92" s="10" t="s">
        <v>323</v>
      </c>
    </row>
    <row r="93" ht="14.25" customHeight="1">
      <c r="AC93" s="10" t="s">
        <v>324</v>
      </c>
    </row>
    <row r="94" ht="14.25" customHeight="1">
      <c r="AC94" s="10" t="s">
        <v>325</v>
      </c>
    </row>
    <row r="95" ht="14.25" customHeight="1">
      <c r="AC95" s="10" t="s">
        <v>326</v>
      </c>
    </row>
    <row r="96" ht="14.25" customHeight="1">
      <c r="AC96" s="10" t="s">
        <v>327</v>
      </c>
    </row>
    <row r="97" ht="14.25" customHeight="1">
      <c r="AC97" s="10" t="s">
        <v>328</v>
      </c>
    </row>
    <row r="98" ht="14.25" customHeight="1">
      <c r="AC98" s="10" t="s">
        <v>329</v>
      </c>
    </row>
    <row r="99" ht="14.25" customHeight="1">
      <c r="AC99" s="10" t="s">
        <v>330</v>
      </c>
    </row>
    <row r="100" ht="14.25" customHeight="1">
      <c r="AC100" s="10" t="s">
        <v>232</v>
      </c>
    </row>
    <row r="101" ht="14.25" customHeight="1">
      <c r="AC101" s="10" t="s">
        <v>331</v>
      </c>
    </row>
    <row r="102" ht="14.25" customHeight="1">
      <c r="AC102" s="10" t="s">
        <v>332</v>
      </c>
    </row>
    <row r="103" ht="14.25" customHeight="1">
      <c r="AC103" s="10" t="s">
        <v>333</v>
      </c>
    </row>
    <row r="104" ht="14.25" customHeight="1">
      <c r="AC104" s="10" t="s">
        <v>282</v>
      </c>
    </row>
    <row r="105" ht="14.25" customHeight="1">
      <c r="AC105" s="10" t="s">
        <v>334</v>
      </c>
    </row>
    <row r="106" ht="14.25" customHeight="1">
      <c r="AC106" s="10" t="s">
        <v>335</v>
      </c>
    </row>
    <row r="107" ht="14.25" customHeight="1">
      <c r="AC107" s="11" t="s">
        <v>336</v>
      </c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B2"/>
    <mergeCell ref="E1:T1"/>
    <mergeCell ref="U1:X1"/>
    <mergeCell ref="Y1:Z1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35.75"/>
    <col customWidth="1" min="3" max="3" width="58.0"/>
    <col customWidth="1" min="4" max="6" width="7.63"/>
  </cols>
  <sheetData>
    <row r="1" ht="24.75" customHeight="1">
      <c r="A1" s="31"/>
      <c r="B1" s="32"/>
      <c r="C1" s="33"/>
    </row>
    <row r="2" ht="14.25" customHeight="1">
      <c r="A2" s="33"/>
      <c r="B2" s="34" t="s">
        <v>337</v>
      </c>
      <c r="C2" s="35"/>
    </row>
    <row r="3" ht="14.25" customHeight="1">
      <c r="A3" s="31"/>
      <c r="B3" s="32"/>
      <c r="C3" s="33"/>
    </row>
    <row r="4" ht="14.25" customHeight="1">
      <c r="A4" s="33"/>
      <c r="B4" s="36" t="s">
        <v>338</v>
      </c>
      <c r="C4" s="33"/>
    </row>
    <row r="5" ht="14.25" customHeight="1">
      <c r="A5" s="31"/>
      <c r="B5" s="32"/>
      <c r="C5" s="33"/>
    </row>
    <row r="6" ht="34.5" customHeight="1">
      <c r="A6" s="33"/>
      <c r="B6" s="37" t="s">
        <v>339</v>
      </c>
      <c r="C6" s="38" t="s">
        <v>340</v>
      </c>
    </row>
    <row r="7" ht="34.5" customHeight="1">
      <c r="A7" s="33"/>
      <c r="B7" s="39" t="s">
        <v>341</v>
      </c>
      <c r="C7" s="40" t="s">
        <v>342</v>
      </c>
    </row>
    <row r="8" ht="34.5" customHeight="1">
      <c r="A8" s="33"/>
      <c r="B8" s="41" t="s">
        <v>343</v>
      </c>
      <c r="C8" s="42" t="s">
        <v>344</v>
      </c>
    </row>
    <row r="9" ht="34.5" customHeight="1">
      <c r="A9" s="33"/>
      <c r="B9" s="36" t="s">
        <v>345</v>
      </c>
      <c r="C9" s="33"/>
    </row>
    <row r="10" ht="9.75" customHeight="1">
      <c r="A10" s="31"/>
      <c r="B10" s="32"/>
      <c r="C10" s="33"/>
    </row>
    <row r="11" ht="34.5" customHeight="1">
      <c r="A11" s="33"/>
      <c r="B11" s="37" t="s">
        <v>346</v>
      </c>
      <c r="C11" s="43" t="s">
        <v>347</v>
      </c>
    </row>
    <row r="12" ht="34.5" customHeight="1">
      <c r="A12" s="33"/>
      <c r="B12" s="39" t="s">
        <v>348</v>
      </c>
      <c r="C12" s="44" t="s">
        <v>349</v>
      </c>
    </row>
    <row r="13" ht="34.5" customHeight="1">
      <c r="A13" s="45"/>
      <c r="B13" s="46" t="s">
        <v>350</v>
      </c>
      <c r="C13" s="47" t="s">
        <v>351</v>
      </c>
    </row>
    <row r="14" ht="34.5" customHeight="1">
      <c r="A14" s="48"/>
      <c r="B14" s="49"/>
      <c r="C14" s="50" t="s">
        <v>352</v>
      </c>
    </row>
    <row r="15" ht="34.5" customHeight="1">
      <c r="A15" s="33"/>
      <c r="B15" s="39" t="s">
        <v>353</v>
      </c>
      <c r="C15" s="44" t="s">
        <v>354</v>
      </c>
    </row>
    <row r="16" ht="34.5" customHeight="1">
      <c r="A16" s="33"/>
      <c r="B16" s="39" t="s">
        <v>355</v>
      </c>
      <c r="C16" s="44" t="s">
        <v>356</v>
      </c>
    </row>
    <row r="17" ht="34.5" customHeight="1">
      <c r="A17" s="33"/>
      <c r="B17" s="39" t="s">
        <v>357</v>
      </c>
      <c r="C17" s="44" t="s">
        <v>358</v>
      </c>
    </row>
    <row r="18" ht="34.5" customHeight="1">
      <c r="A18" s="33"/>
      <c r="B18" s="39" t="s">
        <v>359</v>
      </c>
      <c r="C18" s="44" t="s">
        <v>360</v>
      </c>
    </row>
    <row r="19" ht="34.5" customHeight="1">
      <c r="A19" s="33"/>
      <c r="B19" s="39" t="s">
        <v>361</v>
      </c>
      <c r="C19" s="44" t="s">
        <v>362</v>
      </c>
    </row>
    <row r="20" ht="34.5" customHeight="1">
      <c r="A20" s="33"/>
      <c r="B20" s="39" t="s">
        <v>363</v>
      </c>
      <c r="C20" s="44" t="s">
        <v>364</v>
      </c>
    </row>
    <row r="21" ht="34.5" customHeight="1">
      <c r="A21" s="33"/>
      <c r="B21" s="39" t="s">
        <v>365</v>
      </c>
      <c r="C21" s="40" t="s">
        <v>366</v>
      </c>
    </row>
    <row r="22" ht="34.5" customHeight="1">
      <c r="A22" s="33"/>
      <c r="B22" s="39" t="s">
        <v>367</v>
      </c>
      <c r="C22" s="40" t="s">
        <v>368</v>
      </c>
    </row>
    <row r="23" ht="34.5" customHeight="1">
      <c r="A23" s="33"/>
      <c r="B23" s="41" t="s">
        <v>369</v>
      </c>
      <c r="C23" s="42" t="s">
        <v>370</v>
      </c>
    </row>
    <row r="24" ht="14.25" customHeight="1">
      <c r="A24" s="31"/>
      <c r="B24" s="32"/>
      <c r="C24" s="33"/>
    </row>
    <row r="25" ht="14.25" customHeight="1">
      <c r="A25" s="31"/>
      <c r="B25" s="32"/>
      <c r="C25" s="33"/>
    </row>
    <row r="26" ht="14.25" customHeight="1">
      <c r="A26" s="31"/>
      <c r="B26" s="32"/>
      <c r="C26" s="33"/>
    </row>
    <row r="27" ht="14.25" customHeight="1">
      <c r="A27" s="31"/>
      <c r="B27" s="32"/>
      <c r="C27" s="33"/>
    </row>
    <row r="28" ht="14.25" customHeight="1">
      <c r="A28" s="31"/>
      <c r="B28" s="32"/>
      <c r="C28" s="33"/>
    </row>
    <row r="29" ht="14.25" customHeight="1">
      <c r="A29" s="31"/>
      <c r="B29" s="32"/>
      <c r="C29" s="33"/>
    </row>
    <row r="30" ht="14.25" customHeight="1">
      <c r="A30" s="31"/>
      <c r="B30" s="32"/>
      <c r="C30" s="33"/>
    </row>
    <row r="31" ht="14.25" customHeight="1">
      <c r="A31" s="31"/>
      <c r="B31" s="32"/>
      <c r="C31" s="33"/>
    </row>
    <row r="32" ht="14.25" customHeight="1">
      <c r="A32" s="31"/>
      <c r="B32" s="32"/>
      <c r="C32" s="33"/>
    </row>
    <row r="33" ht="14.25" customHeight="1">
      <c r="A33" s="31"/>
      <c r="B33" s="32"/>
      <c r="C33" s="33"/>
    </row>
    <row r="34" ht="14.25" customHeight="1">
      <c r="A34" s="31"/>
      <c r="B34" s="32"/>
      <c r="C34" s="33"/>
    </row>
    <row r="35" ht="14.25" customHeight="1">
      <c r="A35" s="31"/>
      <c r="B35" s="32"/>
      <c r="C35" s="33"/>
    </row>
    <row r="36" ht="14.25" customHeight="1">
      <c r="A36" s="31"/>
      <c r="B36" s="32"/>
      <c r="C36" s="33"/>
    </row>
    <row r="37" ht="14.25" customHeight="1">
      <c r="A37" s="31"/>
      <c r="B37" s="32"/>
      <c r="C37" s="33"/>
    </row>
    <row r="38" ht="14.25" customHeight="1">
      <c r="A38" s="31"/>
      <c r="B38" s="32"/>
      <c r="C38" s="33"/>
    </row>
    <row r="39" ht="14.25" customHeight="1">
      <c r="A39" s="31"/>
      <c r="B39" s="32"/>
      <c r="C39" s="33"/>
    </row>
    <row r="40" ht="14.25" customHeight="1">
      <c r="A40" s="31"/>
      <c r="B40" s="32"/>
      <c r="C40" s="33"/>
    </row>
    <row r="41" ht="14.25" customHeight="1">
      <c r="A41" s="31"/>
      <c r="B41" s="32"/>
      <c r="C41" s="33"/>
    </row>
    <row r="42" ht="14.25" customHeight="1">
      <c r="A42" s="31"/>
      <c r="B42" s="32"/>
      <c r="C42" s="33"/>
    </row>
    <row r="43" ht="14.25" customHeight="1">
      <c r="A43" s="31"/>
      <c r="B43" s="32"/>
      <c r="C43" s="33"/>
    </row>
    <row r="44" ht="14.25" customHeight="1">
      <c r="A44" s="31"/>
      <c r="B44" s="32"/>
      <c r="C44" s="33"/>
    </row>
    <row r="45" ht="14.25" customHeight="1">
      <c r="A45" s="31"/>
      <c r="B45" s="32"/>
      <c r="C45" s="33"/>
    </row>
    <row r="46" ht="14.25" customHeight="1">
      <c r="A46" s="31"/>
      <c r="B46" s="32"/>
      <c r="C46" s="33"/>
    </row>
    <row r="47" ht="14.25" customHeight="1">
      <c r="A47" s="31"/>
      <c r="B47" s="32"/>
      <c r="C47" s="33"/>
    </row>
    <row r="48" ht="14.25" customHeight="1">
      <c r="A48" s="31"/>
      <c r="B48" s="32"/>
      <c r="C48" s="33"/>
    </row>
    <row r="49" ht="14.25" customHeight="1">
      <c r="A49" s="31"/>
      <c r="B49" s="32"/>
      <c r="C49" s="33"/>
    </row>
    <row r="50" ht="14.25" customHeight="1">
      <c r="A50" s="31"/>
      <c r="B50" s="32"/>
      <c r="C50" s="33"/>
    </row>
    <row r="51" ht="14.25" customHeight="1">
      <c r="A51" s="31"/>
      <c r="B51" s="32"/>
      <c r="C51" s="33"/>
    </row>
    <row r="52" ht="14.25" customHeight="1">
      <c r="A52" s="31"/>
      <c r="B52" s="32"/>
      <c r="C52" s="33"/>
    </row>
    <row r="53" ht="14.25" customHeight="1">
      <c r="A53" s="31"/>
      <c r="B53" s="32"/>
      <c r="C53" s="33"/>
    </row>
    <row r="54" ht="14.25" customHeight="1">
      <c r="A54" s="31"/>
      <c r="B54" s="32"/>
      <c r="C54" s="33"/>
    </row>
    <row r="55" ht="14.25" customHeight="1">
      <c r="A55" s="31"/>
      <c r="B55" s="32"/>
      <c r="C55" s="33"/>
    </row>
    <row r="56" ht="14.25" customHeight="1">
      <c r="A56" s="31"/>
      <c r="B56" s="32"/>
      <c r="C56" s="33"/>
    </row>
    <row r="57" ht="14.25" customHeight="1">
      <c r="A57" s="31"/>
      <c r="B57" s="32"/>
      <c r="C57" s="33"/>
    </row>
    <row r="58" ht="14.25" customHeight="1">
      <c r="A58" s="31"/>
      <c r="B58" s="32"/>
      <c r="C58" s="33"/>
    </row>
    <row r="59" ht="14.25" customHeight="1">
      <c r="A59" s="31"/>
      <c r="B59" s="32"/>
      <c r="C59" s="33"/>
    </row>
    <row r="60" ht="14.25" customHeight="1">
      <c r="A60" s="31"/>
      <c r="B60" s="32"/>
      <c r="C60" s="33"/>
    </row>
    <row r="61" ht="14.25" customHeight="1">
      <c r="A61" s="31"/>
      <c r="B61" s="32"/>
      <c r="C61" s="33"/>
    </row>
    <row r="62" ht="14.25" customHeight="1">
      <c r="A62" s="31"/>
      <c r="B62" s="32"/>
      <c r="C62" s="33"/>
    </row>
    <row r="63" ht="14.25" customHeight="1">
      <c r="A63" s="31"/>
      <c r="B63" s="32"/>
      <c r="C63" s="33"/>
    </row>
    <row r="64" ht="14.25" customHeight="1">
      <c r="A64" s="31"/>
      <c r="B64" s="32"/>
      <c r="C64" s="33"/>
    </row>
    <row r="65" ht="14.25" customHeight="1">
      <c r="A65" s="31"/>
      <c r="B65" s="32"/>
      <c r="C65" s="33"/>
    </row>
    <row r="66" ht="14.25" customHeight="1">
      <c r="A66" s="31"/>
      <c r="B66" s="32"/>
      <c r="C66" s="33"/>
    </row>
    <row r="67" ht="14.25" customHeight="1">
      <c r="A67" s="31"/>
      <c r="B67" s="32"/>
      <c r="C67" s="33"/>
    </row>
    <row r="68" ht="14.25" customHeight="1">
      <c r="A68" s="31"/>
      <c r="B68" s="32"/>
      <c r="C68" s="33"/>
    </row>
    <row r="69" ht="14.25" customHeight="1">
      <c r="A69" s="31"/>
      <c r="B69" s="32"/>
      <c r="C69" s="33"/>
    </row>
    <row r="70" ht="14.25" customHeight="1">
      <c r="A70" s="31"/>
      <c r="B70" s="32"/>
      <c r="C70" s="33"/>
    </row>
    <row r="71" ht="14.25" customHeight="1">
      <c r="A71" s="31"/>
      <c r="B71" s="32"/>
      <c r="C71" s="33"/>
    </row>
    <row r="72" ht="14.25" customHeight="1">
      <c r="A72" s="31"/>
      <c r="B72" s="32"/>
      <c r="C72" s="33"/>
    </row>
    <row r="73" ht="14.25" customHeight="1">
      <c r="A73" s="31"/>
      <c r="B73" s="32"/>
      <c r="C73" s="33"/>
    </row>
    <row r="74" ht="14.25" customHeight="1">
      <c r="A74" s="31"/>
      <c r="B74" s="32"/>
      <c r="C74" s="33"/>
    </row>
    <row r="75" ht="14.25" customHeight="1">
      <c r="A75" s="31"/>
      <c r="B75" s="32"/>
      <c r="C75" s="33"/>
    </row>
    <row r="76" ht="14.25" customHeight="1">
      <c r="A76" s="31"/>
      <c r="B76" s="32"/>
      <c r="C76" s="33"/>
    </row>
    <row r="77" ht="14.25" customHeight="1">
      <c r="A77" s="31"/>
      <c r="B77" s="32"/>
      <c r="C77" s="33"/>
    </row>
    <row r="78" ht="14.25" customHeight="1">
      <c r="A78" s="31"/>
      <c r="B78" s="32"/>
      <c r="C78" s="33"/>
    </row>
    <row r="79" ht="14.25" customHeight="1">
      <c r="A79" s="31"/>
      <c r="B79" s="32"/>
      <c r="C79" s="33"/>
    </row>
    <row r="80" ht="14.25" customHeight="1">
      <c r="A80" s="31"/>
      <c r="B80" s="32"/>
      <c r="C80" s="33"/>
    </row>
    <row r="81" ht="14.25" customHeight="1">
      <c r="A81" s="31"/>
      <c r="B81" s="32"/>
      <c r="C81" s="33"/>
    </row>
    <row r="82" ht="14.25" customHeight="1">
      <c r="A82" s="31"/>
      <c r="B82" s="32"/>
      <c r="C82" s="33"/>
    </row>
    <row r="83" ht="14.25" customHeight="1">
      <c r="A83" s="31"/>
      <c r="B83" s="32"/>
      <c r="C83" s="33"/>
    </row>
    <row r="84" ht="14.25" customHeight="1">
      <c r="A84" s="31"/>
      <c r="B84" s="32"/>
      <c r="C84" s="33"/>
    </row>
    <row r="85" ht="14.25" customHeight="1">
      <c r="A85" s="31"/>
      <c r="B85" s="32"/>
      <c r="C85" s="33"/>
    </row>
    <row r="86" ht="14.25" customHeight="1">
      <c r="A86" s="31"/>
      <c r="B86" s="32"/>
      <c r="C86" s="33"/>
    </row>
    <row r="87" ht="14.25" customHeight="1">
      <c r="A87" s="31"/>
      <c r="B87" s="32"/>
      <c r="C87" s="33"/>
    </row>
    <row r="88" ht="14.25" customHeight="1">
      <c r="A88" s="31"/>
      <c r="B88" s="32"/>
      <c r="C88" s="33"/>
    </row>
    <row r="89" ht="14.25" customHeight="1">
      <c r="A89" s="31"/>
      <c r="B89" s="32"/>
      <c r="C89" s="33"/>
    </row>
    <row r="90" ht="14.25" customHeight="1">
      <c r="A90" s="31"/>
      <c r="B90" s="32"/>
      <c r="C90" s="33"/>
    </row>
    <row r="91" ht="14.25" customHeight="1">
      <c r="A91" s="31"/>
      <c r="B91" s="32"/>
      <c r="C91" s="33"/>
    </row>
    <row r="92" ht="14.25" customHeight="1">
      <c r="A92" s="31"/>
      <c r="B92" s="32"/>
      <c r="C92" s="33"/>
    </row>
    <row r="93" ht="14.25" customHeight="1">
      <c r="A93" s="31"/>
      <c r="B93" s="32"/>
      <c r="C93" s="33"/>
    </row>
    <row r="94" ht="14.25" customHeight="1">
      <c r="A94" s="31"/>
      <c r="B94" s="32"/>
      <c r="C94" s="33"/>
    </row>
    <row r="95" ht="14.25" customHeight="1">
      <c r="A95" s="31"/>
      <c r="B95" s="32"/>
      <c r="C95" s="33"/>
    </row>
    <row r="96" ht="14.25" customHeight="1">
      <c r="A96" s="31"/>
      <c r="B96" s="32"/>
      <c r="C96" s="33"/>
    </row>
    <row r="97" ht="14.25" customHeight="1">
      <c r="A97" s="31"/>
      <c r="B97" s="32"/>
      <c r="C97" s="33"/>
    </row>
    <row r="98" ht="14.25" customHeight="1">
      <c r="A98" s="31"/>
      <c r="B98" s="32"/>
      <c r="C98" s="33"/>
    </row>
    <row r="99" ht="14.25" customHeight="1">
      <c r="A99" s="31"/>
      <c r="B99" s="32"/>
      <c r="C99" s="33"/>
    </row>
    <row r="100" ht="14.25" customHeight="1">
      <c r="A100" s="31"/>
      <c r="B100" s="32"/>
      <c r="C100" s="33"/>
    </row>
    <row r="101" ht="14.25" customHeight="1">
      <c r="A101" s="31"/>
      <c r="B101" s="32"/>
      <c r="C101" s="33"/>
    </row>
    <row r="102" ht="14.25" customHeight="1">
      <c r="A102" s="31"/>
      <c r="B102" s="32"/>
      <c r="C102" s="33"/>
    </row>
    <row r="103" ht="14.25" customHeight="1">
      <c r="A103" s="31"/>
      <c r="B103" s="32"/>
      <c r="C103" s="33"/>
    </row>
    <row r="104" ht="14.25" customHeight="1">
      <c r="A104" s="31"/>
      <c r="B104" s="32"/>
      <c r="C104" s="33"/>
    </row>
    <row r="105" ht="14.25" customHeight="1">
      <c r="A105" s="31"/>
      <c r="B105" s="32"/>
      <c r="C105" s="33"/>
    </row>
    <row r="106" ht="14.25" customHeight="1">
      <c r="A106" s="31"/>
      <c r="B106" s="32"/>
      <c r="C106" s="33"/>
    </row>
    <row r="107" ht="14.25" customHeight="1">
      <c r="A107" s="31"/>
      <c r="B107" s="32"/>
      <c r="C107" s="33"/>
    </row>
    <row r="108" ht="14.25" customHeight="1">
      <c r="A108" s="31"/>
      <c r="B108" s="32"/>
      <c r="C108" s="33"/>
    </row>
    <row r="109" ht="14.25" customHeight="1">
      <c r="A109" s="31"/>
      <c r="B109" s="32"/>
      <c r="C109" s="33"/>
    </row>
    <row r="110" ht="14.25" customHeight="1">
      <c r="A110" s="31"/>
      <c r="B110" s="32"/>
      <c r="C110" s="33"/>
    </row>
    <row r="111" ht="14.25" customHeight="1">
      <c r="A111" s="31"/>
      <c r="B111" s="32"/>
      <c r="C111" s="33"/>
    </row>
    <row r="112" ht="14.25" customHeight="1">
      <c r="A112" s="31"/>
      <c r="B112" s="32"/>
      <c r="C112" s="33"/>
    </row>
    <row r="113" ht="14.25" customHeight="1">
      <c r="A113" s="31"/>
      <c r="B113" s="32"/>
      <c r="C113" s="33"/>
    </row>
    <row r="114" ht="14.25" customHeight="1">
      <c r="A114" s="31"/>
      <c r="B114" s="32"/>
      <c r="C114" s="33"/>
    </row>
    <row r="115" ht="14.25" customHeight="1">
      <c r="A115" s="31"/>
      <c r="B115" s="32"/>
      <c r="C115" s="33"/>
    </row>
    <row r="116" ht="14.25" customHeight="1">
      <c r="A116" s="31"/>
      <c r="B116" s="32"/>
      <c r="C116" s="33"/>
    </row>
    <row r="117" ht="14.25" customHeight="1">
      <c r="A117" s="31"/>
      <c r="B117" s="32"/>
      <c r="C117" s="33"/>
    </row>
    <row r="118" ht="14.25" customHeight="1">
      <c r="A118" s="31"/>
      <c r="B118" s="32"/>
      <c r="C118" s="33"/>
    </row>
    <row r="119" ht="14.25" customHeight="1">
      <c r="A119" s="31"/>
      <c r="B119" s="32"/>
      <c r="C119" s="33"/>
    </row>
    <row r="120" ht="14.25" customHeight="1">
      <c r="A120" s="31"/>
      <c r="B120" s="32"/>
      <c r="C120" s="33"/>
    </row>
    <row r="121" ht="14.25" customHeight="1">
      <c r="A121" s="31"/>
      <c r="B121" s="32"/>
      <c r="C121" s="33"/>
    </row>
    <row r="122" ht="14.25" customHeight="1">
      <c r="A122" s="31"/>
      <c r="B122" s="32"/>
      <c r="C122" s="33"/>
    </row>
    <row r="123" ht="14.25" customHeight="1">
      <c r="A123" s="31"/>
      <c r="B123" s="32"/>
      <c r="C123" s="33"/>
    </row>
    <row r="124" ht="14.25" customHeight="1">
      <c r="A124" s="31"/>
      <c r="B124" s="32"/>
      <c r="C124" s="33"/>
    </row>
    <row r="125" ht="14.25" customHeight="1">
      <c r="A125" s="31"/>
      <c r="B125" s="32"/>
      <c r="C125" s="33"/>
    </row>
    <row r="126" ht="14.25" customHeight="1">
      <c r="A126" s="31"/>
      <c r="B126" s="32"/>
      <c r="C126" s="33"/>
    </row>
    <row r="127" ht="14.25" customHeight="1">
      <c r="A127" s="31"/>
      <c r="B127" s="32"/>
      <c r="C127" s="33"/>
    </row>
    <row r="128" ht="14.25" customHeight="1">
      <c r="A128" s="31"/>
      <c r="B128" s="32"/>
      <c r="C128" s="33"/>
    </row>
    <row r="129" ht="14.25" customHeight="1">
      <c r="A129" s="31"/>
      <c r="B129" s="32"/>
      <c r="C129" s="33"/>
    </row>
    <row r="130" ht="14.25" customHeight="1">
      <c r="A130" s="31"/>
      <c r="B130" s="32"/>
      <c r="C130" s="33"/>
    </row>
    <row r="131" ht="14.25" customHeight="1">
      <c r="A131" s="31"/>
      <c r="B131" s="32"/>
      <c r="C131" s="33"/>
    </row>
    <row r="132" ht="14.25" customHeight="1">
      <c r="A132" s="31"/>
      <c r="B132" s="32"/>
      <c r="C132" s="33"/>
    </row>
    <row r="133" ht="14.25" customHeight="1">
      <c r="A133" s="31"/>
      <c r="B133" s="32"/>
      <c r="C133" s="33"/>
    </row>
    <row r="134" ht="14.25" customHeight="1">
      <c r="A134" s="31"/>
      <c r="B134" s="32"/>
      <c r="C134" s="33"/>
    </row>
    <row r="135" ht="14.25" customHeight="1">
      <c r="A135" s="31"/>
      <c r="B135" s="32"/>
      <c r="C135" s="33"/>
    </row>
    <row r="136" ht="14.25" customHeight="1">
      <c r="A136" s="31"/>
      <c r="B136" s="32"/>
      <c r="C136" s="33"/>
    </row>
    <row r="137" ht="14.25" customHeight="1">
      <c r="A137" s="31"/>
      <c r="B137" s="32"/>
      <c r="C137" s="33"/>
    </row>
    <row r="138" ht="14.25" customHeight="1">
      <c r="A138" s="31"/>
      <c r="B138" s="32"/>
      <c r="C138" s="33"/>
    </row>
    <row r="139" ht="14.25" customHeight="1">
      <c r="A139" s="31"/>
      <c r="B139" s="32"/>
      <c r="C139" s="33"/>
    </row>
    <row r="140" ht="14.25" customHeight="1">
      <c r="A140" s="31"/>
      <c r="B140" s="32"/>
      <c r="C140" s="33"/>
    </row>
    <row r="141" ht="14.25" customHeight="1">
      <c r="A141" s="31"/>
      <c r="B141" s="32"/>
      <c r="C141" s="33"/>
    </row>
    <row r="142" ht="14.25" customHeight="1">
      <c r="A142" s="31"/>
      <c r="B142" s="32"/>
      <c r="C142" s="33"/>
    </row>
    <row r="143" ht="14.25" customHeight="1">
      <c r="A143" s="31"/>
      <c r="B143" s="32"/>
      <c r="C143" s="33"/>
    </row>
    <row r="144" ht="14.25" customHeight="1">
      <c r="A144" s="31"/>
      <c r="B144" s="32"/>
      <c r="C144" s="33"/>
    </row>
    <row r="145" ht="14.25" customHeight="1">
      <c r="A145" s="31"/>
      <c r="B145" s="32"/>
      <c r="C145" s="33"/>
    </row>
    <row r="146" ht="14.25" customHeight="1">
      <c r="A146" s="31"/>
      <c r="B146" s="32"/>
      <c r="C146" s="33"/>
    </row>
    <row r="147" ht="14.25" customHeight="1">
      <c r="A147" s="31"/>
      <c r="B147" s="32"/>
      <c r="C147" s="33"/>
    </row>
    <row r="148" ht="14.25" customHeight="1">
      <c r="A148" s="31"/>
      <c r="B148" s="32"/>
      <c r="C148" s="33"/>
    </row>
    <row r="149" ht="14.25" customHeight="1">
      <c r="A149" s="31"/>
      <c r="B149" s="32"/>
      <c r="C149" s="33"/>
    </row>
    <row r="150" ht="14.25" customHeight="1">
      <c r="A150" s="31"/>
      <c r="B150" s="32"/>
      <c r="C150" s="33"/>
    </row>
    <row r="151" ht="14.25" customHeight="1">
      <c r="A151" s="31"/>
      <c r="B151" s="32"/>
      <c r="C151" s="33"/>
    </row>
    <row r="152" ht="14.25" customHeight="1">
      <c r="A152" s="31"/>
      <c r="B152" s="32"/>
      <c r="C152" s="33"/>
    </row>
    <row r="153" ht="14.25" customHeight="1">
      <c r="A153" s="31"/>
      <c r="B153" s="32"/>
      <c r="C153" s="33"/>
    </row>
    <row r="154" ht="14.25" customHeight="1">
      <c r="A154" s="31"/>
      <c r="B154" s="32"/>
      <c r="C154" s="33"/>
    </row>
    <row r="155" ht="14.25" customHeight="1">
      <c r="A155" s="31"/>
      <c r="B155" s="32"/>
      <c r="C155" s="33"/>
    </row>
    <row r="156" ht="14.25" customHeight="1">
      <c r="A156" s="31"/>
      <c r="B156" s="32"/>
      <c r="C156" s="33"/>
    </row>
    <row r="157" ht="14.25" customHeight="1">
      <c r="A157" s="31"/>
      <c r="B157" s="32"/>
      <c r="C157" s="33"/>
    </row>
    <row r="158" ht="14.25" customHeight="1">
      <c r="A158" s="31"/>
      <c r="B158" s="32"/>
      <c r="C158" s="33"/>
    </row>
    <row r="159" ht="14.25" customHeight="1">
      <c r="A159" s="31"/>
      <c r="B159" s="32"/>
      <c r="C159" s="33"/>
    </row>
    <row r="160" ht="14.25" customHeight="1">
      <c r="A160" s="31"/>
      <c r="B160" s="32"/>
      <c r="C160" s="33"/>
    </row>
    <row r="161" ht="14.25" customHeight="1">
      <c r="A161" s="31"/>
      <c r="B161" s="32"/>
      <c r="C161" s="33"/>
    </row>
    <row r="162" ht="14.25" customHeight="1">
      <c r="A162" s="31"/>
      <c r="B162" s="32"/>
      <c r="C162" s="33"/>
    </row>
    <row r="163" ht="14.25" customHeight="1">
      <c r="A163" s="31"/>
      <c r="B163" s="32"/>
      <c r="C163" s="33"/>
    </row>
    <row r="164" ht="14.25" customHeight="1">
      <c r="A164" s="31"/>
      <c r="B164" s="32"/>
      <c r="C164" s="33"/>
    </row>
    <row r="165" ht="14.25" customHeight="1">
      <c r="A165" s="31"/>
      <c r="B165" s="32"/>
      <c r="C165" s="33"/>
    </row>
    <row r="166" ht="14.25" customHeight="1">
      <c r="A166" s="31"/>
      <c r="B166" s="32"/>
      <c r="C166" s="33"/>
    </row>
    <row r="167" ht="14.25" customHeight="1">
      <c r="A167" s="31"/>
      <c r="B167" s="32"/>
      <c r="C167" s="33"/>
    </row>
    <row r="168" ht="14.25" customHeight="1">
      <c r="A168" s="31"/>
      <c r="B168" s="32"/>
      <c r="C168" s="33"/>
    </row>
    <row r="169" ht="14.25" customHeight="1">
      <c r="A169" s="31"/>
      <c r="B169" s="32"/>
      <c r="C169" s="33"/>
    </row>
    <row r="170" ht="14.25" customHeight="1">
      <c r="A170" s="31"/>
      <c r="B170" s="32"/>
      <c r="C170" s="33"/>
    </row>
    <row r="171" ht="14.25" customHeight="1">
      <c r="A171" s="31"/>
      <c r="B171" s="32"/>
      <c r="C171" s="33"/>
    </row>
    <row r="172" ht="14.25" customHeight="1">
      <c r="A172" s="31"/>
      <c r="B172" s="32"/>
      <c r="C172" s="33"/>
    </row>
    <row r="173" ht="14.25" customHeight="1">
      <c r="A173" s="31"/>
      <c r="B173" s="32"/>
      <c r="C173" s="33"/>
    </row>
    <row r="174" ht="14.25" customHeight="1">
      <c r="A174" s="31"/>
      <c r="B174" s="32"/>
      <c r="C174" s="33"/>
    </row>
    <row r="175" ht="14.25" customHeight="1">
      <c r="A175" s="31"/>
      <c r="B175" s="32"/>
      <c r="C175" s="33"/>
    </row>
    <row r="176" ht="14.25" customHeight="1">
      <c r="A176" s="31"/>
      <c r="B176" s="32"/>
      <c r="C176" s="33"/>
    </row>
    <row r="177" ht="14.25" customHeight="1">
      <c r="A177" s="31"/>
      <c r="B177" s="32"/>
      <c r="C177" s="33"/>
    </row>
    <row r="178" ht="14.25" customHeight="1">
      <c r="A178" s="31"/>
      <c r="B178" s="32"/>
      <c r="C178" s="33"/>
    </row>
    <row r="179" ht="14.25" customHeight="1">
      <c r="A179" s="31"/>
      <c r="B179" s="32"/>
      <c r="C179" s="33"/>
    </row>
    <row r="180" ht="14.25" customHeight="1">
      <c r="A180" s="31"/>
      <c r="B180" s="32"/>
      <c r="C180" s="33"/>
    </row>
    <row r="181" ht="14.25" customHeight="1">
      <c r="A181" s="31"/>
      <c r="B181" s="32"/>
      <c r="C181" s="33"/>
    </row>
    <row r="182" ht="14.25" customHeight="1">
      <c r="A182" s="31"/>
      <c r="B182" s="32"/>
      <c r="C182" s="33"/>
    </row>
    <row r="183" ht="14.25" customHeight="1">
      <c r="A183" s="31"/>
      <c r="B183" s="32"/>
      <c r="C183" s="33"/>
    </row>
    <row r="184" ht="14.25" customHeight="1">
      <c r="A184" s="31"/>
      <c r="B184" s="32"/>
      <c r="C184" s="33"/>
    </row>
    <row r="185" ht="14.25" customHeight="1">
      <c r="A185" s="31"/>
      <c r="B185" s="32"/>
      <c r="C185" s="33"/>
    </row>
    <row r="186" ht="14.25" customHeight="1">
      <c r="A186" s="31"/>
      <c r="B186" s="32"/>
      <c r="C186" s="33"/>
    </row>
    <row r="187" ht="14.25" customHeight="1">
      <c r="A187" s="31"/>
      <c r="B187" s="32"/>
      <c r="C187" s="33"/>
    </row>
    <row r="188" ht="14.25" customHeight="1">
      <c r="A188" s="31"/>
      <c r="B188" s="32"/>
      <c r="C188" s="33"/>
    </row>
    <row r="189" ht="14.25" customHeight="1">
      <c r="A189" s="31"/>
      <c r="B189" s="32"/>
      <c r="C189" s="33"/>
    </row>
    <row r="190" ht="14.25" customHeight="1">
      <c r="A190" s="31"/>
      <c r="B190" s="32"/>
      <c r="C190" s="33"/>
    </row>
    <row r="191" ht="14.25" customHeight="1">
      <c r="A191" s="31"/>
      <c r="B191" s="32"/>
      <c r="C191" s="33"/>
    </row>
    <row r="192" ht="14.25" customHeight="1">
      <c r="A192" s="31"/>
      <c r="B192" s="32"/>
      <c r="C192" s="33"/>
    </row>
    <row r="193" ht="14.25" customHeight="1">
      <c r="A193" s="31"/>
      <c r="B193" s="32"/>
      <c r="C193" s="33"/>
    </row>
    <row r="194" ht="14.25" customHeight="1">
      <c r="A194" s="31"/>
      <c r="B194" s="32"/>
      <c r="C194" s="33"/>
    </row>
    <row r="195" ht="14.25" customHeight="1">
      <c r="A195" s="31"/>
      <c r="B195" s="32"/>
      <c r="C195" s="33"/>
    </row>
    <row r="196" ht="14.25" customHeight="1">
      <c r="A196" s="31"/>
      <c r="B196" s="32"/>
      <c r="C196" s="33"/>
    </row>
    <row r="197" ht="14.25" customHeight="1">
      <c r="A197" s="31"/>
      <c r="B197" s="32"/>
      <c r="C197" s="33"/>
    </row>
    <row r="198" ht="14.25" customHeight="1">
      <c r="A198" s="31"/>
      <c r="B198" s="32"/>
      <c r="C198" s="33"/>
    </row>
    <row r="199" ht="14.25" customHeight="1">
      <c r="A199" s="31"/>
      <c r="B199" s="32"/>
      <c r="C199" s="33"/>
    </row>
    <row r="200" ht="14.25" customHeight="1">
      <c r="A200" s="31"/>
      <c r="B200" s="32"/>
      <c r="C200" s="33"/>
    </row>
    <row r="201" ht="14.25" customHeight="1">
      <c r="A201" s="31"/>
      <c r="B201" s="32"/>
      <c r="C201" s="33"/>
    </row>
    <row r="202" ht="14.25" customHeight="1">
      <c r="A202" s="31"/>
      <c r="B202" s="32"/>
      <c r="C202" s="33"/>
    </row>
    <row r="203" ht="14.25" customHeight="1">
      <c r="A203" s="31"/>
      <c r="B203" s="32"/>
      <c r="C203" s="33"/>
    </row>
    <row r="204" ht="14.25" customHeight="1">
      <c r="A204" s="31"/>
      <c r="B204" s="32"/>
      <c r="C204" s="33"/>
    </row>
    <row r="205" ht="14.25" customHeight="1">
      <c r="A205" s="31"/>
      <c r="B205" s="32"/>
      <c r="C205" s="33"/>
    </row>
    <row r="206" ht="14.25" customHeight="1">
      <c r="A206" s="31"/>
      <c r="B206" s="32"/>
      <c r="C206" s="33"/>
    </row>
    <row r="207" ht="14.25" customHeight="1">
      <c r="A207" s="31"/>
      <c r="B207" s="32"/>
      <c r="C207" s="33"/>
    </row>
    <row r="208" ht="14.25" customHeight="1">
      <c r="A208" s="31"/>
      <c r="B208" s="32"/>
      <c r="C208" s="33"/>
    </row>
    <row r="209" ht="14.25" customHeight="1">
      <c r="A209" s="31"/>
      <c r="B209" s="32"/>
      <c r="C209" s="33"/>
    </row>
    <row r="210" ht="14.25" customHeight="1">
      <c r="A210" s="31"/>
      <c r="B210" s="32"/>
      <c r="C210" s="33"/>
    </row>
    <row r="211" ht="14.25" customHeight="1">
      <c r="A211" s="31"/>
      <c r="B211" s="32"/>
      <c r="C211" s="33"/>
    </row>
    <row r="212" ht="14.25" customHeight="1">
      <c r="A212" s="31"/>
      <c r="B212" s="32"/>
      <c r="C212" s="33"/>
    </row>
    <row r="213" ht="14.25" customHeight="1">
      <c r="A213" s="31"/>
      <c r="B213" s="32"/>
      <c r="C213" s="33"/>
    </row>
    <row r="214" ht="14.25" customHeight="1">
      <c r="A214" s="31"/>
      <c r="B214" s="32"/>
      <c r="C214" s="33"/>
    </row>
    <row r="215" ht="14.25" customHeight="1">
      <c r="A215" s="31"/>
      <c r="B215" s="32"/>
      <c r="C215" s="33"/>
    </row>
    <row r="216" ht="14.25" customHeight="1">
      <c r="A216" s="31"/>
      <c r="B216" s="32"/>
      <c r="C216" s="33"/>
    </row>
    <row r="217" ht="14.25" customHeight="1">
      <c r="A217" s="31"/>
      <c r="B217" s="32"/>
      <c r="C217" s="33"/>
    </row>
    <row r="218" ht="14.25" customHeight="1">
      <c r="A218" s="31"/>
      <c r="B218" s="32"/>
      <c r="C218" s="33"/>
    </row>
    <row r="219" ht="14.25" customHeight="1">
      <c r="A219" s="31"/>
      <c r="B219" s="32"/>
      <c r="C219" s="33"/>
    </row>
    <row r="220" ht="14.25" customHeight="1">
      <c r="A220" s="31"/>
      <c r="B220" s="32"/>
      <c r="C220" s="33"/>
    </row>
    <row r="221" ht="14.25" customHeight="1">
      <c r="A221" s="31"/>
      <c r="B221" s="32"/>
      <c r="C221" s="33"/>
    </row>
    <row r="222" ht="14.25" customHeight="1">
      <c r="A222" s="31"/>
      <c r="B222" s="32"/>
      <c r="C222" s="33"/>
    </row>
    <row r="223" ht="14.25" customHeight="1">
      <c r="A223" s="31"/>
      <c r="B223" s="32"/>
      <c r="C223" s="3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6">
    <mergeCell ref="A1:B1"/>
    <mergeCell ref="A3:B3"/>
    <mergeCell ref="A5:B5"/>
    <mergeCell ref="A10:B10"/>
    <mergeCell ref="A13:A14"/>
    <mergeCell ref="B13:B14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221:B221"/>
    <mergeCell ref="A222:B222"/>
    <mergeCell ref="A223:B223"/>
    <mergeCell ref="A214:B214"/>
    <mergeCell ref="A215:B215"/>
    <mergeCell ref="A216:B216"/>
    <mergeCell ref="A217:B217"/>
    <mergeCell ref="A218:B218"/>
    <mergeCell ref="A219:B219"/>
    <mergeCell ref="A220:B220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1.5"/>
    <col customWidth="1" min="2" max="2" width="51.5"/>
    <col customWidth="1" min="3" max="3" width="10.0"/>
    <col customWidth="1" min="4" max="4" width="10.63"/>
    <col customWidth="1" min="5" max="5" width="60.25"/>
    <col customWidth="1" min="6" max="6" width="7.63"/>
    <col customWidth="1" min="7" max="7" width="10.0"/>
    <col customWidth="1" min="8" max="8" width="8.88"/>
    <col customWidth="1" min="9" max="9" width="11.25"/>
    <col customWidth="1" min="10" max="11" width="7.63"/>
    <col customWidth="1" hidden="1" min="12" max="12" width="13.63"/>
    <col customWidth="1" hidden="1" min="13" max="13" width="16.63"/>
    <col customWidth="1" hidden="1" min="14" max="14" width="14.63"/>
    <col customWidth="1" hidden="1" min="15" max="15" width="16.25"/>
    <col customWidth="1" hidden="1" min="16" max="16" width="18.75"/>
    <col customWidth="1" hidden="1" min="17" max="17" width="17.13"/>
    <col customWidth="1" hidden="1" min="18" max="18" width="21.13"/>
    <col customWidth="1" hidden="1" min="19" max="19" width="13.63"/>
    <col customWidth="1" hidden="1" min="20" max="20" width="9.75"/>
    <col customWidth="1" min="21" max="24" width="7.63"/>
    <col customWidth="1" min="25" max="25" width="9.25"/>
    <col customWidth="1" min="26" max="27" width="7.63"/>
    <col customWidth="1" hidden="1" min="28" max="43" width="7.63"/>
  </cols>
  <sheetData>
    <row r="1" ht="61.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21.0" customHeight="1">
      <c r="A2" s="51"/>
      <c r="B2" s="51"/>
      <c r="C2" s="52" t="s">
        <v>371</v>
      </c>
      <c r="D2" s="53"/>
      <c r="E2" s="53"/>
      <c r="F2" s="53"/>
      <c r="G2" s="53"/>
      <c r="H2" s="53"/>
      <c r="I2" s="53"/>
      <c r="J2" s="53"/>
      <c r="K2" s="53"/>
      <c r="L2" s="54" t="s">
        <v>372</v>
      </c>
      <c r="M2" s="53"/>
      <c r="N2" s="53"/>
      <c r="O2" s="53"/>
      <c r="P2" s="53"/>
      <c r="Q2" s="53"/>
      <c r="R2" s="53"/>
      <c r="S2" s="53"/>
      <c r="T2" s="53"/>
      <c r="U2" s="51"/>
      <c r="V2" s="51"/>
      <c r="W2" s="51"/>
      <c r="X2" s="51"/>
      <c r="Y2" s="51"/>
      <c r="Z2" s="51"/>
      <c r="AA2" s="51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6"/>
      <c r="AM2" s="55"/>
      <c r="AN2" s="55"/>
      <c r="AO2" s="57"/>
      <c r="AP2" s="57"/>
      <c r="AQ2" s="58"/>
    </row>
    <row r="3" ht="14.25" customHeight="1">
      <c r="A3" s="59" t="s">
        <v>373</v>
      </c>
      <c r="B3" s="59" t="s">
        <v>0</v>
      </c>
      <c r="C3" s="60" t="s">
        <v>374</v>
      </c>
      <c r="D3" s="61" t="s">
        <v>2</v>
      </c>
      <c r="E3" s="62" t="s">
        <v>375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3"/>
      <c r="U3" s="64" t="s">
        <v>4</v>
      </c>
      <c r="V3" s="5"/>
      <c r="W3" s="5"/>
      <c r="X3" s="6"/>
      <c r="Y3" s="65" t="s">
        <v>5</v>
      </c>
      <c r="Z3" s="6"/>
      <c r="AA3" s="66" t="s">
        <v>376</v>
      </c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6"/>
      <c r="AM3" s="57"/>
      <c r="AN3" s="57"/>
      <c r="AO3" s="57"/>
      <c r="AP3" s="57"/>
      <c r="AQ3" s="58"/>
    </row>
    <row r="4" ht="31.5" customHeight="1">
      <c r="A4" s="67"/>
      <c r="B4" s="67"/>
      <c r="C4" s="68" t="s">
        <v>8</v>
      </c>
      <c r="D4" s="68" t="s">
        <v>9</v>
      </c>
      <c r="E4" s="68" t="s">
        <v>377</v>
      </c>
      <c r="F4" s="68" t="s">
        <v>11</v>
      </c>
      <c r="G4" s="68" t="s">
        <v>12</v>
      </c>
      <c r="H4" s="68" t="s">
        <v>13</v>
      </c>
      <c r="I4" s="68" t="s">
        <v>14</v>
      </c>
      <c r="J4" s="68" t="s">
        <v>15</v>
      </c>
      <c r="K4" s="68" t="s">
        <v>16</v>
      </c>
      <c r="L4" s="68" t="s">
        <v>378</v>
      </c>
      <c r="M4" s="68" t="s">
        <v>18</v>
      </c>
      <c r="N4" s="68" t="s">
        <v>19</v>
      </c>
      <c r="O4" s="68" t="s">
        <v>20</v>
      </c>
      <c r="P4" s="68" t="s">
        <v>21</v>
      </c>
      <c r="Q4" s="68" t="s">
        <v>22</v>
      </c>
      <c r="R4" s="68" t="s">
        <v>23</v>
      </c>
      <c r="S4" s="68" t="s">
        <v>379</v>
      </c>
      <c r="T4" s="68" t="s">
        <v>380</v>
      </c>
      <c r="U4" s="68" t="s">
        <v>26</v>
      </c>
      <c r="V4" s="68" t="s">
        <v>27</v>
      </c>
      <c r="W4" s="68" t="s">
        <v>28</v>
      </c>
      <c r="X4" s="68" t="s">
        <v>29</v>
      </c>
      <c r="Y4" s="68"/>
      <c r="Z4" s="68"/>
      <c r="AA4" s="68" t="s">
        <v>30</v>
      </c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70"/>
      <c r="AM4" s="69"/>
      <c r="AN4" s="69"/>
      <c r="AO4" s="69"/>
      <c r="AP4" s="69"/>
      <c r="AQ4" s="71"/>
    </row>
    <row r="5" ht="14.25" customHeight="1">
      <c r="A5" s="72" t="str">
        <f>B5&amp;AA5&amp;"utm_source="&amp;C5&amp;"&amp;"&amp;"utm_medium="&amp;D5&amp;"&amp;"&amp;"utm_campaign="&amp;E5&amp;"_"&amp;F5&amp;"_"&amp;G5&amp;"_"&amp;H5&amp;"_"&amp;I5&amp;"_"&amp;J5&amp;"_"&amp;K5&amp;"&amp;"&amp;"utm_content="&amp;U5&amp;"_"&amp;V5&amp;"_"&amp;W5&amp;"_"&amp;X5&amp;"&amp;"&amp;"utm_term="&amp;Y5&amp;"_"&amp;Z5</f>
        <v>https://www.vivo.com.br/para-voce/produtos-e-servicos/ofertas/cartao-vivo-itaucard?utm_source=mktcloud&amp;utm_medium=emailmkt&amp;utm_campaign=_vivo_b2c_care_aura_45g_aquisicao&amp;utm_content=___&amp;utm_term=##IDPlay##_</v>
      </c>
      <c r="B5" s="73" t="s">
        <v>381</v>
      </c>
      <c r="C5" s="10" t="s">
        <v>160</v>
      </c>
      <c r="D5" s="10" t="s">
        <v>94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  <c r="K5" s="10" t="s">
        <v>49</v>
      </c>
      <c r="L5" s="10" t="s">
        <v>35</v>
      </c>
      <c r="M5" s="10" t="s">
        <v>36</v>
      </c>
      <c r="N5" s="10" t="s">
        <v>37</v>
      </c>
      <c r="O5" s="10" t="s">
        <v>38</v>
      </c>
      <c r="P5" s="10" t="s">
        <v>39</v>
      </c>
      <c r="Q5" s="10" t="s">
        <v>40</v>
      </c>
      <c r="R5" s="10" t="s">
        <v>41</v>
      </c>
      <c r="Y5" s="10" t="s">
        <v>382</v>
      </c>
      <c r="AA5" s="74" t="str">
        <f t="shared" ref="AA5:AA8" si="1">IFERROR(IF(FIND("?",B5,1)&gt;=1,"&amp;","?"),"?")</f>
        <v>?</v>
      </c>
    </row>
    <row r="6" ht="14.25" customHeight="1">
      <c r="A6" s="72" t="str">
        <f>B8&amp;AA6&amp;"utm_source="&amp;C6&amp;"&amp;"&amp;"utm_medium="&amp;D6&amp;"&amp;"&amp;"utm_campaign="&amp;E6&amp;"_"&amp;F6&amp;"_"&amp;G6&amp;"_"&amp;H6&amp;"_"&amp;I6&amp;"_"&amp;J6&amp;"_"&amp;K6&amp;"&amp;"&amp;"utm_content="&amp;U6&amp;"_"&amp;V6&amp;"_"&amp;W6&amp;"_"&amp;X6&amp;"&amp;"&amp;"utm_term="&amp;Y6&amp;"_"&amp;Z6</f>
        <v>https://lojaonline.vivo.com.br/vivostorefront/p/22019711&amp;utm_source=mktcloud&amp;utm_medium=emailmkt&amp;utm_campaign=##ApproachStart##-48horas-20-21_vivo_b2c_ecommerce_terminais_45g_oferta&amp;utm_content=___&amp;utm_term=##IDPlay##_</v>
      </c>
      <c r="B6" s="75" t="s">
        <v>383</v>
      </c>
      <c r="C6" s="10" t="s">
        <v>160</v>
      </c>
      <c r="D6" s="10" t="s">
        <v>94</v>
      </c>
      <c r="E6" s="10" t="s">
        <v>384</v>
      </c>
      <c r="F6" s="10" t="s">
        <v>44</v>
      </c>
      <c r="G6" s="10" t="s">
        <v>45</v>
      </c>
      <c r="H6" s="10" t="s">
        <v>95</v>
      </c>
      <c r="I6" s="10" t="s">
        <v>189</v>
      </c>
      <c r="J6" s="10" t="s">
        <v>48</v>
      </c>
      <c r="K6" s="10" t="s">
        <v>117</v>
      </c>
      <c r="L6" s="10" t="s">
        <v>35</v>
      </c>
      <c r="M6" s="10" t="s">
        <v>36</v>
      </c>
      <c r="N6" s="10" t="s">
        <v>37</v>
      </c>
      <c r="O6" s="10" t="s">
        <v>38</v>
      </c>
      <c r="P6" s="10" t="s">
        <v>39</v>
      </c>
      <c r="Q6" s="10" t="s">
        <v>40</v>
      </c>
      <c r="R6" s="10" t="s">
        <v>41</v>
      </c>
      <c r="Y6" s="10" t="s">
        <v>382</v>
      </c>
      <c r="AA6" s="74" t="str">
        <f t="shared" si="1"/>
        <v>&amp;</v>
      </c>
    </row>
    <row r="7" ht="14.25" customHeight="1">
      <c r="A7" s="72" t="str">
        <f t="shared" ref="A7:A42" si="2">B7&amp;AA7&amp;"utm_source="&amp;C7&amp;"&amp;"&amp;"utm_medium="&amp;D7&amp;"&amp;"&amp;"utm_campaign="&amp;E7&amp;"_"&amp;F7&amp;"_"&amp;G7&amp;"_"&amp;H7&amp;"_"&amp;I7&amp;"_"&amp;J7&amp;"_"&amp;K7&amp;"&amp;"&amp;"utm_content="&amp;U7&amp;"_"&amp;V7&amp;"_"&amp;W7&amp;"_"&amp;X7&amp;"&amp;"&amp;"utm_term="&amp;Y7&amp;"_"&amp;Z7</f>
        <v>https://lojaonline.vivo.com.br/vivostorefront/p/22019585?utm_source=mktcloud&amp;utm_medium=emailmkt&amp;utm_campaign=##ApproachStart##-SmartOferta-2408_vivo_b2c_ecommerce_terminais_smart-ofertas_oferta&amp;utm_content=CTA1___&amp;utm_term=##IDPlay##_</v>
      </c>
      <c r="B7" s="76" t="s">
        <v>385</v>
      </c>
      <c r="C7" s="10" t="s">
        <v>160</v>
      </c>
      <c r="D7" s="10" t="s">
        <v>94</v>
      </c>
      <c r="E7" s="10" t="s">
        <v>386</v>
      </c>
      <c r="F7" s="77" t="s">
        <v>44</v>
      </c>
      <c r="G7" s="77" t="s">
        <v>45</v>
      </c>
      <c r="H7" s="77" t="s">
        <v>95</v>
      </c>
      <c r="I7" s="77" t="s">
        <v>189</v>
      </c>
      <c r="J7" s="77" t="s">
        <v>243</v>
      </c>
      <c r="K7" s="77" t="s">
        <v>117</v>
      </c>
      <c r="L7" s="10" t="s">
        <v>35</v>
      </c>
      <c r="M7" s="10" t="s">
        <v>36</v>
      </c>
      <c r="N7" s="10" t="s">
        <v>37</v>
      </c>
      <c r="O7" s="10" t="s">
        <v>38</v>
      </c>
      <c r="P7" s="10" t="s">
        <v>39</v>
      </c>
      <c r="Q7" s="10" t="s">
        <v>40</v>
      </c>
      <c r="R7" s="10" t="s">
        <v>41</v>
      </c>
      <c r="U7" s="10" t="s">
        <v>387</v>
      </c>
      <c r="Y7" s="10" t="s">
        <v>382</v>
      </c>
      <c r="AA7" s="74" t="str">
        <f t="shared" si="1"/>
        <v>?</v>
      </c>
    </row>
    <row r="8" ht="14.25" customHeight="1">
      <c r="A8" s="72" t="str">
        <f t="shared" si="2"/>
        <v>https://lojaonline.vivo.com.br/vivostorefront/p/22019711?utm_source=mktcloud&amp;utm_medium=emailmkt&amp;utm_campaign=##ApproachStart##-SmartOferta-2408_vivo_b2c_ecommerce_terminais_smart-ofertas_oferta&amp;utm_content=CTA7___&amp;utm_term=##IDPlay##_</v>
      </c>
      <c r="B8" s="78" t="s">
        <v>388</v>
      </c>
      <c r="C8" s="10" t="s">
        <v>160</v>
      </c>
      <c r="D8" s="10" t="s">
        <v>94</v>
      </c>
      <c r="E8" s="79" t="s">
        <v>386</v>
      </c>
      <c r="F8" s="10" t="s">
        <v>44</v>
      </c>
      <c r="G8" s="10" t="s">
        <v>45</v>
      </c>
      <c r="H8" s="10" t="s">
        <v>95</v>
      </c>
      <c r="I8" s="10" t="s">
        <v>189</v>
      </c>
      <c r="J8" s="10" t="s">
        <v>243</v>
      </c>
      <c r="K8" s="10" t="s">
        <v>117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39</v>
      </c>
      <c r="Q8" s="10" t="s">
        <v>40</v>
      </c>
      <c r="R8" s="10" t="s">
        <v>41</v>
      </c>
      <c r="U8" s="10" t="s">
        <v>389</v>
      </c>
      <c r="Y8" s="10" t="s">
        <v>382</v>
      </c>
      <c r="AA8" s="74" t="str">
        <f t="shared" si="1"/>
        <v>?</v>
      </c>
    </row>
    <row r="9" ht="14.25" customHeight="1">
      <c r="A9" s="72" t="str">
        <f t="shared" si="2"/>
        <v>http://lojaonline.vivo.com.br/vivostorefront/campaign?identifier=motoe764gb_controle?utm_source=mktcloud&amp;utm_medium=emailmkt&amp;utm_campaign=##ApproachStart##-SmartOferta-2408_vivo_b2c_ecommerce_terminais_smart-ofertas_oferta&amp;utm_content=CTA1___&amp;utm_term=##IDPlay##_</v>
      </c>
      <c r="B9" s="80" t="s">
        <v>390</v>
      </c>
      <c r="C9" s="10" t="s">
        <v>160</v>
      </c>
      <c r="D9" s="10" t="s">
        <v>94</v>
      </c>
      <c r="E9" s="79" t="s">
        <v>386</v>
      </c>
      <c r="F9" s="10" t="s">
        <v>44</v>
      </c>
      <c r="G9" s="10" t="s">
        <v>45</v>
      </c>
      <c r="H9" s="10" t="s">
        <v>95</v>
      </c>
      <c r="I9" s="77" t="s">
        <v>189</v>
      </c>
      <c r="J9" s="10" t="s">
        <v>243</v>
      </c>
      <c r="K9" s="10" t="s">
        <v>117</v>
      </c>
      <c r="L9" s="10" t="s">
        <v>35</v>
      </c>
      <c r="M9" s="10" t="s">
        <v>36</v>
      </c>
      <c r="N9" s="10" t="s">
        <v>37</v>
      </c>
      <c r="O9" s="10" t="s">
        <v>38</v>
      </c>
      <c r="P9" s="10" t="s">
        <v>39</v>
      </c>
      <c r="Q9" s="10" t="s">
        <v>40</v>
      </c>
      <c r="R9" s="10" t="s">
        <v>41</v>
      </c>
      <c r="U9" s="10" t="s">
        <v>387</v>
      </c>
      <c r="Y9" s="10" t="s">
        <v>382</v>
      </c>
      <c r="AA9" s="74" t="s">
        <v>57</v>
      </c>
    </row>
    <row r="10" ht="14.25" customHeight="1">
      <c r="A10" s="10" t="str">
        <f t="shared" si="2"/>
        <v>?utm_source=mktcloud&amp;utm_medium=emailmkt&amp;utm_campaign=##ApproachStart##-Ofertas-dia-do-gamer_vivo_b2c_ecommerce_terminais_duo_oferta&amp;utm_content=CTA1___&amp;utm_term=##IDPlay##_</v>
      </c>
      <c r="B10" s="81"/>
      <c r="C10" s="10" t="s">
        <v>160</v>
      </c>
      <c r="D10" s="10" t="s">
        <v>94</v>
      </c>
      <c r="E10" s="10" t="s">
        <v>391</v>
      </c>
      <c r="F10" s="10" t="s">
        <v>44</v>
      </c>
      <c r="G10" s="10" t="s">
        <v>45</v>
      </c>
      <c r="H10" s="10" t="s">
        <v>95</v>
      </c>
      <c r="I10" s="10" t="s">
        <v>189</v>
      </c>
      <c r="J10" s="10" t="s">
        <v>143</v>
      </c>
      <c r="K10" s="10" t="s">
        <v>117</v>
      </c>
      <c r="L10" s="10" t="s">
        <v>35</v>
      </c>
      <c r="M10" s="10" t="s">
        <v>36</v>
      </c>
      <c r="N10" s="10" t="s">
        <v>37</v>
      </c>
      <c r="O10" s="10" t="s">
        <v>38</v>
      </c>
      <c r="P10" s="10" t="s">
        <v>39</v>
      </c>
      <c r="Q10" s="10" t="s">
        <v>40</v>
      </c>
      <c r="R10" s="10" t="s">
        <v>41</v>
      </c>
      <c r="U10" s="10" t="s">
        <v>387</v>
      </c>
      <c r="Y10" s="10" t="s">
        <v>382</v>
      </c>
      <c r="AA10" s="74" t="str">
        <f t="shared" ref="AA10:AA338" si="3">IFERROR(IF(FIND("?",B10,1)&gt;=1,"&amp;","?"),"?")</f>
        <v>?</v>
      </c>
    </row>
    <row r="11" ht="14.25" customHeight="1">
      <c r="A11" s="72" t="str">
        <f t="shared" si="2"/>
        <v>https://lojaonline.vivo.com.br/vivostorefront/p/22020031?utm_source=mktcloud&amp;utm_medium=emailmkt&amp;utm_campaign=##ApproachStart##-Ofertas-dia-do-gamer_vivo_b2c_ecommerce_terminais_duo_oferta&amp;utm_content=CTA2___&amp;utm_term=##IDPlay##_</v>
      </c>
      <c r="B11" s="82" t="s">
        <v>392</v>
      </c>
      <c r="C11" s="10" t="s">
        <v>160</v>
      </c>
      <c r="D11" s="10" t="s">
        <v>94</v>
      </c>
      <c r="E11" s="10" t="s">
        <v>391</v>
      </c>
      <c r="F11" s="10" t="s">
        <v>44</v>
      </c>
      <c r="G11" s="10" t="s">
        <v>45</v>
      </c>
      <c r="H11" s="10" t="s">
        <v>95</v>
      </c>
      <c r="I11" s="10" t="s">
        <v>189</v>
      </c>
      <c r="J11" s="10" t="s">
        <v>143</v>
      </c>
      <c r="K11" s="10" t="s">
        <v>117</v>
      </c>
      <c r="L11" s="10" t="s">
        <v>35</v>
      </c>
      <c r="M11" s="10" t="s">
        <v>36</v>
      </c>
      <c r="N11" s="10" t="s">
        <v>37</v>
      </c>
      <c r="O11" s="10" t="s">
        <v>38</v>
      </c>
      <c r="P11" s="10" t="s">
        <v>39</v>
      </c>
      <c r="Q11" s="10" t="s">
        <v>40</v>
      </c>
      <c r="R11" s="10" t="s">
        <v>41</v>
      </c>
      <c r="U11" s="10" t="s">
        <v>393</v>
      </c>
      <c r="Y11" s="10" t="s">
        <v>382</v>
      </c>
      <c r="AA11" s="74" t="str">
        <f t="shared" si="3"/>
        <v>?</v>
      </c>
    </row>
    <row r="12" ht="14.25" customHeight="1">
      <c r="A12" s="72" t="str">
        <f t="shared" si="2"/>
        <v>https://lojaonline.vivo.com.br/vivostorefront/p/22018931?utm_source=mktcloud&amp;utm_medium=emailmkt&amp;utm_campaign=##ApproachStart##-Ofertas-dia-do-gamer_vivo_b2c_ecommerce_terminais_duo_oferta&amp;utm_content=CTA3___&amp;utm_term=##IDPlay##_</v>
      </c>
      <c r="B12" s="82" t="s">
        <v>394</v>
      </c>
      <c r="C12" s="10" t="s">
        <v>160</v>
      </c>
      <c r="D12" s="10" t="s">
        <v>94</v>
      </c>
      <c r="E12" s="10" t="s">
        <v>391</v>
      </c>
      <c r="F12" s="10" t="s">
        <v>44</v>
      </c>
      <c r="G12" s="10" t="s">
        <v>45</v>
      </c>
      <c r="H12" s="10" t="s">
        <v>95</v>
      </c>
      <c r="I12" s="10" t="s">
        <v>189</v>
      </c>
      <c r="J12" s="10" t="s">
        <v>143</v>
      </c>
      <c r="K12" s="10" t="s">
        <v>117</v>
      </c>
      <c r="L12" s="10" t="s">
        <v>35</v>
      </c>
      <c r="M12" s="10" t="s">
        <v>36</v>
      </c>
      <c r="N12" s="10" t="s">
        <v>37</v>
      </c>
      <c r="O12" s="10" t="s">
        <v>38</v>
      </c>
      <c r="P12" s="10" t="s">
        <v>39</v>
      </c>
      <c r="Q12" s="10" t="s">
        <v>40</v>
      </c>
      <c r="R12" s="10" t="s">
        <v>41</v>
      </c>
      <c r="U12" s="10" t="s">
        <v>395</v>
      </c>
      <c r="Y12" s="10" t="s">
        <v>382</v>
      </c>
      <c r="AA12" s="74" t="str">
        <f t="shared" si="3"/>
        <v>?</v>
      </c>
    </row>
    <row r="13" ht="14.25" customHeight="1">
      <c r="A13" s="72" t="str">
        <f t="shared" si="2"/>
        <v>https://lojaonline.vivo.com.br/vivostorefront/p/22019616?utm_source=mktcloud&amp;utm_medium=emailmkt&amp;utm_campaign=##ApproachStart##-Ofertas-dia-do-gamer_vivo_b2c_ecommerce_terminais_duo_oferta&amp;utm_content=CTA4___&amp;utm_term=##IDPlay##_</v>
      </c>
      <c r="B13" s="82" t="s">
        <v>396</v>
      </c>
      <c r="C13" s="10" t="s">
        <v>160</v>
      </c>
      <c r="D13" s="10" t="s">
        <v>94</v>
      </c>
      <c r="E13" s="10" t="s">
        <v>391</v>
      </c>
      <c r="F13" s="10" t="s">
        <v>44</v>
      </c>
      <c r="G13" s="10" t="s">
        <v>45</v>
      </c>
      <c r="H13" s="10" t="s">
        <v>95</v>
      </c>
      <c r="I13" s="10" t="s">
        <v>189</v>
      </c>
      <c r="J13" s="10" t="s">
        <v>143</v>
      </c>
      <c r="K13" s="10" t="s">
        <v>117</v>
      </c>
      <c r="L13" s="10" t="s">
        <v>35</v>
      </c>
      <c r="M13" s="10" t="s">
        <v>36</v>
      </c>
      <c r="N13" s="10" t="s">
        <v>37</v>
      </c>
      <c r="O13" s="10" t="s">
        <v>38</v>
      </c>
      <c r="P13" s="10" t="s">
        <v>39</v>
      </c>
      <c r="Q13" s="10" t="s">
        <v>40</v>
      </c>
      <c r="R13" s="10" t="s">
        <v>41</v>
      </c>
      <c r="U13" s="10" t="s">
        <v>397</v>
      </c>
      <c r="Y13" s="10" t="s">
        <v>382</v>
      </c>
      <c r="AA13" s="74" t="str">
        <f t="shared" si="3"/>
        <v>?</v>
      </c>
    </row>
    <row r="14" ht="14.25" customHeight="1">
      <c r="A14" s="72" t="str">
        <f t="shared" si="2"/>
        <v>https://lojaonline.vivo.com.br/vivostorefront/p/22019617?utm_source=mktcloud&amp;utm_medium=emailmkt&amp;utm_campaign=##ApproachStart##-Ofertas-dia-do-gamer_vivo_b2c_ecommerce_terminais_duo_oferta&amp;utm_content=CTA5___&amp;utm_term=##IDPlay##_</v>
      </c>
      <c r="B14" s="82" t="s">
        <v>398</v>
      </c>
      <c r="C14" s="10" t="s">
        <v>160</v>
      </c>
      <c r="D14" s="10" t="s">
        <v>94</v>
      </c>
      <c r="E14" s="10" t="s">
        <v>391</v>
      </c>
      <c r="F14" s="10" t="s">
        <v>44</v>
      </c>
      <c r="G14" s="10" t="s">
        <v>45</v>
      </c>
      <c r="H14" s="10" t="s">
        <v>95</v>
      </c>
      <c r="I14" s="10" t="s">
        <v>189</v>
      </c>
      <c r="J14" s="10" t="s">
        <v>143</v>
      </c>
      <c r="K14" s="10" t="s">
        <v>117</v>
      </c>
      <c r="L14" s="10" t="s">
        <v>35</v>
      </c>
      <c r="M14" s="10" t="s">
        <v>36</v>
      </c>
      <c r="N14" s="10" t="s">
        <v>37</v>
      </c>
      <c r="O14" s="10" t="s">
        <v>38</v>
      </c>
      <c r="P14" s="10" t="s">
        <v>39</v>
      </c>
      <c r="Q14" s="10" t="s">
        <v>40</v>
      </c>
      <c r="R14" s="10" t="s">
        <v>41</v>
      </c>
      <c r="U14" s="10" t="s">
        <v>399</v>
      </c>
      <c r="Y14" s="10" t="s">
        <v>382</v>
      </c>
      <c r="AA14" s="74" t="str">
        <f t="shared" si="3"/>
        <v>?</v>
      </c>
    </row>
    <row r="15" ht="14.25" customHeight="1">
      <c r="A15" s="72" t="str">
        <f t="shared" si="2"/>
        <v>https://lojaonline.vivo.com.br/vivostorefront/p/22019547?utm_source=mktcloud&amp;utm_medium=emailmkt&amp;utm_campaign=##ApproachStart##-Ofertas-dia-do-gamer_vivo_b2c_ecommerce_terminais_duo_oferta&amp;utm_content=CTA6___&amp;utm_term=##IDPlay##_</v>
      </c>
      <c r="B15" s="82" t="s">
        <v>400</v>
      </c>
      <c r="C15" s="10" t="s">
        <v>160</v>
      </c>
      <c r="D15" s="10" t="s">
        <v>94</v>
      </c>
      <c r="E15" s="10" t="s">
        <v>391</v>
      </c>
      <c r="F15" s="10" t="s">
        <v>44</v>
      </c>
      <c r="G15" s="10" t="s">
        <v>45</v>
      </c>
      <c r="H15" s="10" t="s">
        <v>95</v>
      </c>
      <c r="I15" s="10" t="s">
        <v>189</v>
      </c>
      <c r="J15" s="10" t="s">
        <v>143</v>
      </c>
      <c r="K15" s="10" t="s">
        <v>117</v>
      </c>
      <c r="L15" s="10" t="s">
        <v>35</v>
      </c>
      <c r="M15" s="10" t="s">
        <v>36</v>
      </c>
      <c r="N15" s="10" t="s">
        <v>37</v>
      </c>
      <c r="O15" s="10" t="s">
        <v>38</v>
      </c>
      <c r="P15" s="10" t="s">
        <v>39</v>
      </c>
      <c r="Q15" s="10" t="s">
        <v>40</v>
      </c>
      <c r="R15" s="10" t="s">
        <v>41</v>
      </c>
      <c r="U15" s="10" t="s">
        <v>401</v>
      </c>
      <c r="Y15" s="10" t="s">
        <v>382</v>
      </c>
      <c r="AA15" s="74" t="str">
        <f t="shared" si="3"/>
        <v>?</v>
      </c>
    </row>
    <row r="16" ht="14.25" customHeight="1">
      <c r="A16" s="72" t="str">
        <f t="shared" si="2"/>
        <v>https://lojaonline.vivo.com.br/vivostorefront/p/22019548?utm_source=mktcloud&amp;utm_medium=emailmkt&amp;utm_campaign=##ApproachStart##-Ofertas-dia-do-gamer_vivo_b2c_ecommerce_terminais_duo_oferta&amp;utm_content=CTA7___&amp;utm_term=##IDPlay##_</v>
      </c>
      <c r="B16" s="82" t="s">
        <v>402</v>
      </c>
      <c r="C16" s="10" t="s">
        <v>160</v>
      </c>
      <c r="D16" s="10" t="s">
        <v>94</v>
      </c>
      <c r="E16" s="10" t="s">
        <v>391</v>
      </c>
      <c r="F16" s="10" t="s">
        <v>44</v>
      </c>
      <c r="G16" s="10" t="s">
        <v>45</v>
      </c>
      <c r="H16" s="10" t="s">
        <v>95</v>
      </c>
      <c r="I16" s="10" t="s">
        <v>189</v>
      </c>
      <c r="J16" s="10" t="s">
        <v>143</v>
      </c>
      <c r="K16" s="10" t="s">
        <v>117</v>
      </c>
      <c r="L16" s="10" t="s">
        <v>35</v>
      </c>
      <c r="M16" s="10" t="s">
        <v>36</v>
      </c>
      <c r="N16" s="10" t="s">
        <v>37</v>
      </c>
      <c r="O16" s="10" t="s">
        <v>38</v>
      </c>
      <c r="P16" s="10" t="s">
        <v>39</v>
      </c>
      <c r="Q16" s="10" t="s">
        <v>40</v>
      </c>
      <c r="R16" s="10" t="s">
        <v>41</v>
      </c>
      <c r="U16" s="10" t="s">
        <v>389</v>
      </c>
      <c r="Y16" s="10" t="s">
        <v>382</v>
      </c>
      <c r="AA16" s="74" t="str">
        <f t="shared" si="3"/>
        <v>?</v>
      </c>
    </row>
    <row r="17" ht="14.25" customHeight="1">
      <c r="A17" s="72" t="str">
        <f t="shared" si="2"/>
        <v>https://lojaonline.vivo.com.br/vivostorefront/p/22019720?utm_source=mktcloud&amp;utm_medium=emailmkt&amp;utm_campaign=##ApproachStart##-Ofertas-dia-do-gamer_vivo_b2c_ecommerce_terminais_duo_oferta&amp;utm_content=CTA8___&amp;utm_term=##IDPlay##_</v>
      </c>
      <c r="B17" s="82" t="s">
        <v>403</v>
      </c>
      <c r="C17" s="10" t="s">
        <v>160</v>
      </c>
      <c r="D17" s="10" t="s">
        <v>94</v>
      </c>
      <c r="E17" s="10" t="s">
        <v>391</v>
      </c>
      <c r="F17" s="10" t="s">
        <v>44</v>
      </c>
      <c r="G17" s="10" t="s">
        <v>45</v>
      </c>
      <c r="H17" s="10" t="s">
        <v>95</v>
      </c>
      <c r="I17" s="10" t="s">
        <v>189</v>
      </c>
      <c r="J17" s="10" t="s">
        <v>143</v>
      </c>
      <c r="K17" s="10" t="s">
        <v>117</v>
      </c>
      <c r="L17" s="10" t="s">
        <v>35</v>
      </c>
      <c r="M17" s="10" t="s">
        <v>36</v>
      </c>
      <c r="N17" s="10" t="s">
        <v>37</v>
      </c>
      <c r="O17" s="10" t="s">
        <v>38</v>
      </c>
      <c r="P17" s="10" t="s">
        <v>39</v>
      </c>
      <c r="Q17" s="10" t="s">
        <v>40</v>
      </c>
      <c r="R17" s="10" t="s">
        <v>41</v>
      </c>
      <c r="U17" s="10" t="s">
        <v>404</v>
      </c>
      <c r="Y17" s="10" t="s">
        <v>382</v>
      </c>
      <c r="AA17" s="74" t="str">
        <f t="shared" si="3"/>
        <v>?</v>
      </c>
    </row>
    <row r="18" ht="14.25" customHeight="1">
      <c r="A18" s="10" t="str">
        <f t="shared" si="2"/>
        <v>?utm_source=mktcloud&amp;utm_medium=emailmkt&amp;utm_campaign=##ApproachStart##-Ofertas-dia-do-gamer_vivo_b2c_ecommerce_terminais_duo_oferta&amp;utm_content=___&amp;utm_term=##IDPlay##_</v>
      </c>
      <c r="C18" s="10" t="s">
        <v>160</v>
      </c>
      <c r="D18" s="10" t="s">
        <v>94</v>
      </c>
      <c r="E18" s="10" t="s">
        <v>391</v>
      </c>
      <c r="F18" s="10" t="s">
        <v>44</v>
      </c>
      <c r="G18" s="10" t="s">
        <v>45</v>
      </c>
      <c r="H18" s="10" t="s">
        <v>95</v>
      </c>
      <c r="I18" s="10" t="s">
        <v>189</v>
      </c>
      <c r="J18" s="10" t="s">
        <v>143</v>
      </c>
      <c r="K18" s="10" t="s">
        <v>117</v>
      </c>
      <c r="L18" s="10" t="s">
        <v>35</v>
      </c>
      <c r="M18" s="10" t="s">
        <v>36</v>
      </c>
      <c r="N18" s="10" t="s">
        <v>37</v>
      </c>
      <c r="O18" s="10" t="s">
        <v>38</v>
      </c>
      <c r="P18" s="10" t="s">
        <v>39</v>
      </c>
      <c r="Q18" s="10" t="s">
        <v>40</v>
      </c>
      <c r="R18" s="10" t="s">
        <v>41</v>
      </c>
      <c r="Y18" s="10" t="s">
        <v>382</v>
      </c>
      <c r="AA18" s="74" t="str">
        <f t="shared" si="3"/>
        <v>?</v>
      </c>
    </row>
    <row r="19" ht="14.25" customHeight="1">
      <c r="A19" s="72" t="str">
        <f t="shared" si="2"/>
        <v>https://meu.vivo/XQZm/ad87d185?utm_source=mktcloud&amp;utm_medium=emailmkt&amp;utm_campaign=##ApproachStar##-Atendimento-meu-vivo_vivo_b2c_institucional_institucional_duo_comunicado&amp;utm_content=___&amp;utm_term=##IDPlay##_</v>
      </c>
      <c r="B19" s="83" t="s">
        <v>405</v>
      </c>
      <c r="C19" s="10" t="s">
        <v>160</v>
      </c>
      <c r="D19" s="10" t="s">
        <v>94</v>
      </c>
      <c r="E19" s="10" t="s">
        <v>406</v>
      </c>
      <c r="F19" s="10" t="s">
        <v>44</v>
      </c>
      <c r="G19" s="10" t="s">
        <v>45</v>
      </c>
      <c r="H19" s="10" t="s">
        <v>115</v>
      </c>
      <c r="I19" s="10" t="s">
        <v>115</v>
      </c>
      <c r="J19" s="10" t="s">
        <v>143</v>
      </c>
      <c r="K19" s="10" t="s">
        <v>68</v>
      </c>
      <c r="L19" s="10" t="s">
        <v>35</v>
      </c>
      <c r="M19" s="10" t="s">
        <v>36</v>
      </c>
      <c r="N19" s="10" t="s">
        <v>37</v>
      </c>
      <c r="O19" s="10" t="s">
        <v>38</v>
      </c>
      <c r="P19" s="10" t="s">
        <v>39</v>
      </c>
      <c r="Q19" s="10" t="s">
        <v>40</v>
      </c>
      <c r="R19" s="10" t="s">
        <v>41</v>
      </c>
      <c r="Y19" s="10" t="s">
        <v>382</v>
      </c>
      <c r="AA19" s="74" t="str">
        <f t="shared" si="3"/>
        <v>?</v>
      </c>
    </row>
    <row r="20" ht="14.25" customHeight="1">
      <c r="A20" s="72" t="str">
        <f t="shared" si="2"/>
        <v>https://lojaonline.vivo.com.br/movel/orders/list?utm_source=mktcloud&amp;utm_medium=emailmkt&amp;utm_campaign=##ApproachStart##-Traking-pedido-up-down-controle_vivo_b2c_movel_controle_vivo-controle_relacionamento&amp;utm_content=___&amp;utm_term=##IDPlay##_</v>
      </c>
      <c r="B20" s="84" t="s">
        <v>407</v>
      </c>
      <c r="C20" s="10" t="s">
        <v>160</v>
      </c>
      <c r="D20" s="10" t="s">
        <v>94</v>
      </c>
      <c r="E20" s="79" t="s">
        <v>408</v>
      </c>
      <c r="F20" s="10" t="s">
        <v>44</v>
      </c>
      <c r="G20" s="10" t="s">
        <v>45</v>
      </c>
      <c r="H20" s="10" t="s">
        <v>124</v>
      </c>
      <c r="I20" s="10" t="s">
        <v>66</v>
      </c>
      <c r="J20" s="10" t="s">
        <v>255</v>
      </c>
      <c r="K20" s="10" t="s">
        <v>144</v>
      </c>
      <c r="L20" s="10" t="s">
        <v>35</v>
      </c>
      <c r="M20" s="10" t="s">
        <v>36</v>
      </c>
      <c r="N20" s="10" t="s">
        <v>37</v>
      </c>
      <c r="O20" s="10" t="s">
        <v>38</v>
      </c>
      <c r="P20" s="10" t="s">
        <v>39</v>
      </c>
      <c r="Q20" s="10" t="s">
        <v>40</v>
      </c>
      <c r="R20" s="10" t="s">
        <v>41</v>
      </c>
      <c r="Y20" s="10" t="s">
        <v>382</v>
      </c>
      <c r="AA20" s="74" t="str">
        <f t="shared" si="3"/>
        <v>?</v>
      </c>
    </row>
    <row r="21" ht="14.25" customHeight="1">
      <c r="A21" s="10" t="str">
        <f t="shared" si="2"/>
        <v>?utm_source=mktcloud&amp;utm_medium=emailmkt&amp;utm_campaign=##ApproachStart##-Incentivo-mcafee_vivo_b2c_servicosdigitais_plano-movel_mcafee_oferta&amp;utm_content=___&amp;utm_term=##IDPlay##_</v>
      </c>
      <c r="C21" s="10" t="s">
        <v>160</v>
      </c>
      <c r="D21" s="10" t="s">
        <v>94</v>
      </c>
      <c r="E21" s="10" t="s">
        <v>409</v>
      </c>
      <c r="F21" s="10" t="s">
        <v>44</v>
      </c>
      <c r="G21" s="10" t="s">
        <v>45</v>
      </c>
      <c r="H21" s="10" t="s">
        <v>141</v>
      </c>
      <c r="I21" s="10" t="s">
        <v>212</v>
      </c>
      <c r="J21" s="10" t="s">
        <v>200</v>
      </c>
      <c r="K21" s="10" t="s">
        <v>117</v>
      </c>
      <c r="L21" s="10" t="s">
        <v>35</v>
      </c>
      <c r="M21" s="10" t="s">
        <v>36</v>
      </c>
      <c r="N21" s="10" t="s">
        <v>37</v>
      </c>
      <c r="O21" s="10" t="s">
        <v>38</v>
      </c>
      <c r="P21" s="10" t="s">
        <v>39</v>
      </c>
      <c r="Q21" s="10" t="s">
        <v>40</v>
      </c>
      <c r="R21" s="10" t="s">
        <v>41</v>
      </c>
      <c r="Y21" s="10" t="s">
        <v>382</v>
      </c>
      <c r="AA21" s="74" t="str">
        <f t="shared" si="3"/>
        <v>?</v>
      </c>
    </row>
    <row r="22" ht="14.25" customHeight="1">
      <c r="A22" s="72" t="str">
        <f t="shared" si="2"/>
        <v>https://lojaonline.vivo.com.br/vivostorefront/?utm_source=mktcloud&amp;utm_medium=emailmkt&amp;utm_campaign=##ApproachStart##-48Horas-generico_vivo_b2c_ecommerce_terminais_movel_oferta&amp;utm_content=CTA3___&amp;utm_term=##IDPlay##_</v>
      </c>
      <c r="B22" s="84" t="s">
        <v>410</v>
      </c>
      <c r="C22" s="10" t="s">
        <v>160</v>
      </c>
      <c r="D22" s="10" t="s">
        <v>94</v>
      </c>
      <c r="E22" s="79" t="s">
        <v>411</v>
      </c>
      <c r="F22" s="10" t="s">
        <v>44</v>
      </c>
      <c r="G22" s="10" t="s">
        <v>45</v>
      </c>
      <c r="H22" s="10" t="s">
        <v>95</v>
      </c>
      <c r="I22" s="10" t="s">
        <v>189</v>
      </c>
      <c r="J22" s="10" t="s">
        <v>124</v>
      </c>
      <c r="K22" s="10" t="s">
        <v>117</v>
      </c>
      <c r="L22" s="10" t="s">
        <v>35</v>
      </c>
      <c r="M22" s="10" t="s">
        <v>36</v>
      </c>
      <c r="N22" s="10" t="s">
        <v>37</v>
      </c>
      <c r="O22" s="10" t="s">
        <v>38</v>
      </c>
      <c r="P22" s="10" t="s">
        <v>39</v>
      </c>
      <c r="Q22" s="10" t="s">
        <v>40</v>
      </c>
      <c r="R22" s="10" t="s">
        <v>41</v>
      </c>
      <c r="U22" s="10" t="s">
        <v>395</v>
      </c>
      <c r="Y22" s="10" t="s">
        <v>382</v>
      </c>
      <c r="AA22" s="74" t="str">
        <f t="shared" si="3"/>
        <v>?</v>
      </c>
    </row>
    <row r="23" ht="14.25" customHeight="1">
      <c r="A23" s="72" t="str">
        <f t="shared" si="2"/>
        <v>https://lojaonline.vivo.com.br/vivostorefront/?utm_source=mktcloud&amp;utm_medium=emailmkt&amp;utm_campaign=##ApproachStart##-SmartOfertas-generico_vivo_b2c_ecommerce_terminais_smart-ofertas_oferta&amp;utm_content=CTA3___&amp;utm_term=##IDPlay##_</v>
      </c>
      <c r="B23" s="84" t="s">
        <v>410</v>
      </c>
      <c r="C23" s="10" t="s">
        <v>160</v>
      </c>
      <c r="D23" s="10" t="s">
        <v>94</v>
      </c>
      <c r="E23" s="79" t="s">
        <v>412</v>
      </c>
      <c r="F23" s="10" t="s">
        <v>44</v>
      </c>
      <c r="G23" s="10" t="s">
        <v>45</v>
      </c>
      <c r="H23" s="10" t="s">
        <v>95</v>
      </c>
      <c r="I23" s="10" t="s">
        <v>189</v>
      </c>
      <c r="J23" s="10" t="s">
        <v>243</v>
      </c>
      <c r="K23" s="10" t="s">
        <v>117</v>
      </c>
      <c r="L23" s="10" t="s">
        <v>35</v>
      </c>
      <c r="M23" s="10" t="s">
        <v>36</v>
      </c>
      <c r="N23" s="10" t="s">
        <v>37</v>
      </c>
      <c r="O23" s="10" t="s">
        <v>38</v>
      </c>
      <c r="P23" s="10" t="s">
        <v>39</v>
      </c>
      <c r="Q23" s="10" t="s">
        <v>40</v>
      </c>
      <c r="R23" s="10" t="s">
        <v>41</v>
      </c>
      <c r="U23" s="10" t="s">
        <v>395</v>
      </c>
      <c r="Y23" s="10" t="s">
        <v>382</v>
      </c>
      <c r="AA23" s="74" t="str">
        <f t="shared" si="3"/>
        <v>?</v>
      </c>
    </row>
    <row r="24" ht="14.25" customHeight="1">
      <c r="A24" s="72" t="str">
        <f t="shared" si="2"/>
        <v>https://meu.vivo/XQZm/4cc56d5e?utm_source=mktcloud&amp;utm_medium=emailmkt&amp;utm_campaign=##ApproachStart##-Nova-oferta-hbo-max_vivo_b2c_sva_pos-pago_duo_oferta&amp;utm_content=___&amp;utm_term=##IDPlay##_</v>
      </c>
      <c r="B24" s="72" t="s">
        <v>413</v>
      </c>
      <c r="C24" s="10" t="s">
        <v>160</v>
      </c>
      <c r="D24" s="10" t="s">
        <v>94</v>
      </c>
      <c r="E24" s="85" t="s">
        <v>414</v>
      </c>
      <c r="F24" s="10" t="s">
        <v>44</v>
      </c>
      <c r="G24" s="10" t="s">
        <v>45</v>
      </c>
      <c r="H24" s="10" t="s">
        <v>133</v>
      </c>
      <c r="I24" s="10" t="s">
        <v>172</v>
      </c>
      <c r="J24" s="10" t="s">
        <v>143</v>
      </c>
      <c r="K24" s="10" t="s">
        <v>117</v>
      </c>
      <c r="L24" s="10" t="s">
        <v>35</v>
      </c>
      <c r="M24" s="10" t="s">
        <v>36</v>
      </c>
      <c r="N24" s="10" t="s">
        <v>37</v>
      </c>
      <c r="O24" s="10" t="s">
        <v>38</v>
      </c>
      <c r="P24" s="10" t="s">
        <v>39</v>
      </c>
      <c r="Q24" s="10" t="s">
        <v>40</v>
      </c>
      <c r="R24" s="10" t="s">
        <v>41</v>
      </c>
      <c r="Y24" s="10" t="s">
        <v>382</v>
      </c>
      <c r="AA24" s="74" t="str">
        <f t="shared" si="3"/>
        <v>?</v>
      </c>
    </row>
    <row r="25" ht="14.25" customHeight="1">
      <c r="A25" s="72" t="str">
        <f t="shared" si="2"/>
        <v>https://www.vivo.com.br/para-empresas/meu-vivo-empresas?utm_source=mktcloud&amp;utm_medium=emailmkt&amp;utm_campaign=##ApproachStart##-Lancamento-esim_vivo_b2b_movel_plano-movel_none_relacionamento&amp;utm_content=___&amp;utm_term=##IDPlay##_</v>
      </c>
      <c r="B25" s="72" t="s">
        <v>415</v>
      </c>
      <c r="C25" s="10" t="s">
        <v>160</v>
      </c>
      <c r="D25" s="10" t="s">
        <v>94</v>
      </c>
      <c r="E25" s="10" t="s">
        <v>416</v>
      </c>
      <c r="F25" s="10" t="s">
        <v>44</v>
      </c>
      <c r="G25" s="10" t="s">
        <v>64</v>
      </c>
      <c r="H25" s="10" t="s">
        <v>124</v>
      </c>
      <c r="I25" s="10" t="s">
        <v>212</v>
      </c>
      <c r="J25" s="10" t="s">
        <v>168</v>
      </c>
      <c r="K25" s="10" t="s">
        <v>144</v>
      </c>
      <c r="L25" s="10" t="s">
        <v>35</v>
      </c>
      <c r="M25" s="10" t="s">
        <v>36</v>
      </c>
      <c r="N25" s="10" t="s">
        <v>37</v>
      </c>
      <c r="O25" s="10" t="s">
        <v>38</v>
      </c>
      <c r="P25" s="10" t="s">
        <v>39</v>
      </c>
      <c r="Q25" s="10" t="s">
        <v>40</v>
      </c>
      <c r="R25" s="10" t="s">
        <v>41</v>
      </c>
      <c r="Y25" s="10" t="s">
        <v>382</v>
      </c>
      <c r="AA25" s="74" t="str">
        <f t="shared" si="3"/>
        <v>?</v>
      </c>
    </row>
    <row r="26" ht="14.25" customHeight="1">
      <c r="A26" s="10" t="str">
        <f t="shared" si="2"/>
        <v>?utm_source=mktcloud&amp;utm_medium=emailmkt&amp;utm_campaign=##ApproachStart##-Meu-vivo-bloqueios-pre_vivo_b2c_movel_pre-pago_meu-vivo-movel_comunicado&amp;utm_content=___&amp;utm_term=##IDPlay##_</v>
      </c>
      <c r="C26" s="10" t="s">
        <v>160</v>
      </c>
      <c r="D26" s="10" t="s">
        <v>94</v>
      </c>
      <c r="E26" s="10" t="s">
        <v>417</v>
      </c>
      <c r="F26" s="10" t="s">
        <v>44</v>
      </c>
      <c r="G26" s="10" t="s">
        <v>45</v>
      </c>
      <c r="H26" s="10" t="s">
        <v>124</v>
      </c>
      <c r="I26" s="10" t="s">
        <v>178</v>
      </c>
      <c r="J26" s="10" t="s">
        <v>208</v>
      </c>
      <c r="K26" s="10" t="s">
        <v>68</v>
      </c>
      <c r="L26" s="10" t="s">
        <v>35</v>
      </c>
      <c r="M26" s="10" t="s">
        <v>36</v>
      </c>
      <c r="N26" s="10" t="s">
        <v>37</v>
      </c>
      <c r="O26" s="10" t="s">
        <v>38</v>
      </c>
      <c r="P26" s="10" t="s">
        <v>39</v>
      </c>
      <c r="Q26" s="10" t="s">
        <v>40</v>
      </c>
      <c r="R26" s="10" t="s">
        <v>41</v>
      </c>
      <c r="Y26" s="10" t="s">
        <v>382</v>
      </c>
      <c r="AA26" s="74" t="str">
        <f t="shared" si="3"/>
        <v>?</v>
      </c>
    </row>
    <row r="27" ht="14.25" customHeight="1">
      <c r="A27" s="10" t="str">
        <f t="shared" si="2"/>
        <v>?utm_source=mktcloud&amp;utm_medium=emailmkt&amp;utm_campaign=##ApproachStart##-Loja-shopping-leblon_vivo_b2c_institucional_institucional_duo_relacionamento&amp;utm_content=___&amp;utm_term=##IDPlay##_</v>
      </c>
      <c r="C27" s="10" t="s">
        <v>160</v>
      </c>
      <c r="D27" s="10" t="s">
        <v>94</v>
      </c>
      <c r="E27" s="10" t="s">
        <v>418</v>
      </c>
      <c r="F27" s="10" t="s">
        <v>44</v>
      </c>
      <c r="G27" s="10" t="s">
        <v>45</v>
      </c>
      <c r="H27" s="10" t="s">
        <v>115</v>
      </c>
      <c r="I27" s="10" t="s">
        <v>115</v>
      </c>
      <c r="J27" s="10" t="s">
        <v>143</v>
      </c>
      <c r="K27" s="10" t="s">
        <v>144</v>
      </c>
      <c r="L27" s="10" t="s">
        <v>35</v>
      </c>
      <c r="M27" s="10" t="s">
        <v>36</v>
      </c>
      <c r="N27" s="10" t="s">
        <v>37</v>
      </c>
      <c r="O27" s="10" t="s">
        <v>38</v>
      </c>
      <c r="P27" s="10" t="s">
        <v>39</v>
      </c>
      <c r="Q27" s="10" t="s">
        <v>40</v>
      </c>
      <c r="R27" s="10" t="s">
        <v>41</v>
      </c>
      <c r="Y27" s="10" t="s">
        <v>382</v>
      </c>
      <c r="AA27" s="74" t="str">
        <f t="shared" si="3"/>
        <v>?</v>
      </c>
    </row>
    <row r="28" ht="14.25" customHeight="1">
      <c r="A28" s="10" t="str">
        <f t="shared" si="2"/>
        <v>?utm_source=mktcloud&amp;utm_medium=emailmkt&amp;utm_campaign=##ApproachStart##-Ausencia-faturamento-cobranca-retroativa_vivo_b2c_movel_controle_vivo-controle_comunicado&amp;utm_content=___&amp;utm_term=##IDPlay##_</v>
      </c>
      <c r="C28" s="10" t="s">
        <v>160</v>
      </c>
      <c r="D28" s="10" t="s">
        <v>94</v>
      </c>
      <c r="E28" s="10" t="s">
        <v>419</v>
      </c>
      <c r="F28" s="10" t="s">
        <v>44</v>
      </c>
      <c r="G28" s="10" t="s">
        <v>45</v>
      </c>
      <c r="H28" s="10" t="s">
        <v>124</v>
      </c>
      <c r="I28" s="10" t="s">
        <v>66</v>
      </c>
      <c r="J28" s="10" t="s">
        <v>255</v>
      </c>
      <c r="K28" s="10" t="s">
        <v>68</v>
      </c>
      <c r="L28" s="10" t="s">
        <v>35</v>
      </c>
      <c r="M28" s="10" t="s">
        <v>36</v>
      </c>
      <c r="N28" s="10" t="s">
        <v>37</v>
      </c>
      <c r="O28" s="10" t="s">
        <v>38</v>
      </c>
      <c r="P28" s="10" t="s">
        <v>39</v>
      </c>
      <c r="Q28" s="10" t="s">
        <v>40</v>
      </c>
      <c r="R28" s="10" t="s">
        <v>41</v>
      </c>
      <c r="Y28" s="10" t="s">
        <v>382</v>
      </c>
      <c r="AA28" s="74" t="str">
        <f t="shared" si="3"/>
        <v>?</v>
      </c>
    </row>
    <row r="29" ht="14.25" customHeight="1">
      <c r="A29" s="10" t="str">
        <f t="shared" si="2"/>
        <v>?utm_source=mktcloud&amp;utm_medium=emailmkt&amp;utm_campaign=##ApproachStart##-Upgrade-bl-plano-vivo-v_vivo_b2c_fixa_internet-fixa_fixa_upgrade&amp;utm_content=___&amp;utm_term=##IDPlay##_</v>
      </c>
      <c r="C29" s="10" t="s">
        <v>160</v>
      </c>
      <c r="D29" s="10" t="s">
        <v>94</v>
      </c>
      <c r="E29" s="10" t="s">
        <v>420</v>
      </c>
      <c r="F29" s="10" t="s">
        <v>44</v>
      </c>
      <c r="G29" s="10" t="s">
        <v>45</v>
      </c>
      <c r="H29" s="10" t="s">
        <v>108</v>
      </c>
      <c r="I29" s="10" t="s">
        <v>229</v>
      </c>
      <c r="J29" s="10" t="s">
        <v>108</v>
      </c>
      <c r="K29" s="10" t="s">
        <v>157</v>
      </c>
      <c r="L29" s="10" t="s">
        <v>35</v>
      </c>
      <c r="M29" s="10" t="s">
        <v>36</v>
      </c>
      <c r="N29" s="10" t="s">
        <v>37</v>
      </c>
      <c r="O29" s="10" t="s">
        <v>38</v>
      </c>
      <c r="P29" s="10" t="s">
        <v>39</v>
      </c>
      <c r="Q29" s="10" t="s">
        <v>40</v>
      </c>
      <c r="R29" s="10" t="s">
        <v>41</v>
      </c>
      <c r="Y29" s="10" t="s">
        <v>382</v>
      </c>
      <c r="AA29" s="74" t="str">
        <f t="shared" si="3"/>
        <v>?</v>
      </c>
    </row>
    <row r="30" ht="14.25" customHeight="1">
      <c r="A30" s="10" t="str">
        <f t="shared" si="2"/>
        <v>?utm_source=mktcloud&amp;utm_medium=emailmkt&amp;utm_campaign=##ApproachStart##-Incentivo-vivo-cloud_vivo_b2c_servicosdigitais_servicosdigitais_cloud_oferta&amp;utm_content=___&amp;utm_term=##IDPlay##_</v>
      </c>
      <c r="C30" s="10" t="s">
        <v>160</v>
      </c>
      <c r="D30" s="10" t="s">
        <v>94</v>
      </c>
      <c r="E30" s="10" t="s">
        <v>421</v>
      </c>
      <c r="F30" s="10" t="s">
        <v>44</v>
      </c>
      <c r="G30" s="10" t="s">
        <v>45</v>
      </c>
      <c r="H30" s="10" t="s">
        <v>141</v>
      </c>
      <c r="I30" s="10" t="s">
        <v>141</v>
      </c>
      <c r="J30" s="10" t="s">
        <v>65</v>
      </c>
      <c r="K30" s="10" t="s">
        <v>117</v>
      </c>
      <c r="L30" s="10" t="s">
        <v>35</v>
      </c>
      <c r="M30" s="10" t="s">
        <v>36</v>
      </c>
      <c r="N30" s="10" t="s">
        <v>37</v>
      </c>
      <c r="O30" s="10" t="s">
        <v>38</v>
      </c>
      <c r="P30" s="10" t="s">
        <v>39</v>
      </c>
      <c r="Q30" s="10" t="s">
        <v>40</v>
      </c>
      <c r="R30" s="10" t="s">
        <v>41</v>
      </c>
      <c r="Y30" s="10" t="s">
        <v>382</v>
      </c>
      <c r="AA30" s="74" t="str">
        <f t="shared" si="3"/>
        <v>?</v>
      </c>
    </row>
    <row r="31" ht="14.25" customHeight="1">
      <c r="A31" s="72" t="str">
        <f t="shared" si="2"/>
        <v>https://vivoemdia.vivo.com.br/?utm_source=mktcloud&amp;utm_medium=emailmkt&amp;utm_campaign=##ApproachStart##-Traking-pedido-migra-controle-pos_vivo_b2c_movel_controle_vivo-pos_migracao&amp;utm_content=___&amp;utm_term=##IDPlay##_</v>
      </c>
      <c r="B31" s="72" t="s">
        <v>422</v>
      </c>
      <c r="C31" s="10" t="s">
        <v>160</v>
      </c>
      <c r="D31" s="10" t="s">
        <v>94</v>
      </c>
      <c r="E31" s="10" t="s">
        <v>423</v>
      </c>
      <c r="F31" s="10" t="s">
        <v>44</v>
      </c>
      <c r="G31" s="10" t="s">
        <v>45</v>
      </c>
      <c r="H31" s="10" t="s">
        <v>124</v>
      </c>
      <c r="I31" s="10" t="s">
        <v>66</v>
      </c>
      <c r="J31" s="10" t="s">
        <v>274</v>
      </c>
      <c r="K31" s="10" t="s">
        <v>109</v>
      </c>
      <c r="L31" s="10" t="s">
        <v>35</v>
      </c>
      <c r="M31" s="10" t="s">
        <v>36</v>
      </c>
      <c r="N31" s="10" t="s">
        <v>37</v>
      </c>
      <c r="O31" s="10" t="s">
        <v>38</v>
      </c>
      <c r="P31" s="10" t="s">
        <v>39</v>
      </c>
      <c r="Q31" s="10" t="s">
        <v>40</v>
      </c>
      <c r="R31" s="10" t="s">
        <v>41</v>
      </c>
      <c r="Y31" s="10" t="s">
        <v>382</v>
      </c>
      <c r="AA31" s="74" t="str">
        <f t="shared" si="3"/>
        <v>?</v>
      </c>
    </row>
    <row r="32" ht="14.25" customHeight="1">
      <c r="A32" s="72" t="str">
        <f t="shared" si="2"/>
        <v>https://www.vivo.com.br/para-voce/produtos-e-servicos/servicos-digitais/apps-no-plano-de-celular/aplicativo-btfit?utm_source=mktcloud&amp;utm_medium=emailmkt&amp;utm_campaign=##ApproachStart##-Inclusao-bundles-plano-pos_vivo_b2c_servicosdigitais_servicosdigitais_vivo-pos_comunicado&amp;utm_content=___&amp;utm_term=##IDPlay##_</v>
      </c>
      <c r="B32" s="86" t="s">
        <v>424</v>
      </c>
      <c r="C32" s="10" t="s">
        <v>160</v>
      </c>
      <c r="D32" s="10" t="s">
        <v>94</v>
      </c>
      <c r="E32" s="10" t="s">
        <v>425</v>
      </c>
      <c r="F32" s="10" t="s">
        <v>44</v>
      </c>
      <c r="G32" s="10" t="s">
        <v>45</v>
      </c>
      <c r="H32" s="10" t="s">
        <v>141</v>
      </c>
      <c r="I32" s="10" t="s">
        <v>141</v>
      </c>
      <c r="J32" s="10" t="s">
        <v>274</v>
      </c>
      <c r="K32" s="10" t="s">
        <v>68</v>
      </c>
      <c r="L32" s="10" t="s">
        <v>35</v>
      </c>
      <c r="M32" s="10" t="s">
        <v>36</v>
      </c>
      <c r="N32" s="10" t="s">
        <v>37</v>
      </c>
      <c r="O32" s="10" t="s">
        <v>38</v>
      </c>
      <c r="P32" s="10" t="s">
        <v>39</v>
      </c>
      <c r="Q32" s="10" t="s">
        <v>40</v>
      </c>
      <c r="R32" s="10" t="s">
        <v>41</v>
      </c>
      <c r="Y32" s="10" t="s">
        <v>382</v>
      </c>
      <c r="AA32" s="74" t="str">
        <f t="shared" si="3"/>
        <v>?</v>
      </c>
    </row>
    <row r="33" ht="14.25" customHeight="1">
      <c r="A33" s="72" t="str">
        <f t="shared" si="2"/>
        <v>lojaonline.vivo.com.br/vivostorefront?site=vivo&amp;utm_source=mktcloud&amp;utm_medium=emailmkt&amp;utm_campaign=##ApproachStart##-Prateleira-infinita-compra-via-link_vivo_b2c_institucional_institucional_none_comunicado&amp;utm_content=___&amp;utm_term=##IDPlay##_</v>
      </c>
      <c r="B33" s="87" t="s">
        <v>426</v>
      </c>
      <c r="C33" s="10" t="s">
        <v>160</v>
      </c>
      <c r="D33" s="10" t="s">
        <v>94</v>
      </c>
      <c r="E33" s="10" t="s">
        <v>427</v>
      </c>
      <c r="F33" s="10" t="s">
        <v>44</v>
      </c>
      <c r="G33" s="10" t="s">
        <v>45</v>
      </c>
      <c r="H33" s="10" t="s">
        <v>115</v>
      </c>
      <c r="I33" s="10" t="s">
        <v>115</v>
      </c>
      <c r="J33" s="10" t="s">
        <v>168</v>
      </c>
      <c r="K33" s="10" t="s">
        <v>68</v>
      </c>
      <c r="L33" s="10" t="s">
        <v>35</v>
      </c>
      <c r="M33" s="10" t="s">
        <v>36</v>
      </c>
      <c r="N33" s="10" t="s">
        <v>37</v>
      </c>
      <c r="O33" s="10" t="s">
        <v>38</v>
      </c>
      <c r="P33" s="10" t="s">
        <v>39</v>
      </c>
      <c r="Q33" s="10" t="s">
        <v>40</v>
      </c>
      <c r="R33" s="10" t="s">
        <v>41</v>
      </c>
      <c r="Y33" s="10" t="s">
        <v>382</v>
      </c>
      <c r="AA33" s="74" t="str">
        <f t="shared" si="3"/>
        <v>&amp;</v>
      </c>
    </row>
    <row r="34" ht="14.25" customHeight="1">
      <c r="A34" s="10" t="str">
        <f t="shared" si="2"/>
        <v>?utm_source=mktcloud&amp;utm_medium=emailmkt&amp;utm_campaign=##ApproachStart##-Premiere-nova-orferta_vivo_b2c_servicosdigitais_servicosdigitais_premiere_oferta&amp;utm_content=___&amp;utm_term=##IDPlay##_</v>
      </c>
      <c r="C34" s="10" t="s">
        <v>160</v>
      </c>
      <c r="D34" s="10" t="s">
        <v>94</v>
      </c>
      <c r="E34" s="10" t="s">
        <v>428</v>
      </c>
      <c r="F34" s="10" t="s">
        <v>44</v>
      </c>
      <c r="G34" s="10" t="s">
        <v>45</v>
      </c>
      <c r="H34" s="10" t="s">
        <v>141</v>
      </c>
      <c r="I34" s="10" t="s">
        <v>141</v>
      </c>
      <c r="J34" s="10" t="s">
        <v>237</v>
      </c>
      <c r="K34" s="10" t="s">
        <v>117</v>
      </c>
      <c r="L34" s="10" t="s">
        <v>35</v>
      </c>
      <c r="M34" s="10" t="s">
        <v>36</v>
      </c>
      <c r="N34" s="10" t="s">
        <v>37</v>
      </c>
      <c r="O34" s="10" t="s">
        <v>38</v>
      </c>
      <c r="P34" s="10" t="s">
        <v>39</v>
      </c>
      <c r="Q34" s="10" t="s">
        <v>40</v>
      </c>
      <c r="R34" s="10" t="s">
        <v>41</v>
      </c>
      <c r="Y34" s="10" t="s">
        <v>382</v>
      </c>
      <c r="AA34" s="74" t="str">
        <f t="shared" si="3"/>
        <v>?</v>
      </c>
    </row>
    <row r="35" ht="14.25" customHeight="1">
      <c r="A35" s="10" t="str">
        <f t="shared" si="2"/>
        <v>?utm_source=mktcloud&amp;utm_medium=emailmkt&amp;utm_campaign=##ApproachStart##-Complemento-acao-blindagem_vivo_b2c_fixa_internet-fixa_vivo-fibra_comunicado&amp;utm_content=___&amp;utm_term=##IDPlay##_</v>
      </c>
      <c r="C35" s="10" t="s">
        <v>160</v>
      </c>
      <c r="D35" s="10" t="s">
        <v>94</v>
      </c>
      <c r="E35" s="10" t="s">
        <v>429</v>
      </c>
      <c r="F35" s="10" t="s">
        <v>44</v>
      </c>
      <c r="G35" s="10" t="s">
        <v>45</v>
      </c>
      <c r="H35" s="10" t="s">
        <v>108</v>
      </c>
      <c r="I35" s="10" t="s">
        <v>229</v>
      </c>
      <c r="J35" s="10" t="s">
        <v>259</v>
      </c>
      <c r="K35" s="10" t="s">
        <v>68</v>
      </c>
      <c r="L35" s="10" t="s">
        <v>35</v>
      </c>
      <c r="M35" s="10" t="s">
        <v>36</v>
      </c>
      <c r="N35" s="10" t="s">
        <v>37</v>
      </c>
      <c r="O35" s="10" t="s">
        <v>38</v>
      </c>
      <c r="P35" s="10" t="s">
        <v>39</v>
      </c>
      <c r="Q35" s="10" t="s">
        <v>40</v>
      </c>
      <c r="R35" s="10" t="s">
        <v>41</v>
      </c>
      <c r="Y35" s="10" t="s">
        <v>382</v>
      </c>
      <c r="AA35" s="74" t="str">
        <f t="shared" si="3"/>
        <v>?</v>
      </c>
    </row>
    <row r="36" ht="14.25" customHeight="1">
      <c r="A36" s="72" t="str">
        <f t="shared" si="2"/>
        <v>www.appstore.vivo.com.br?utm_source=mktcloud&amp;utm_medium=emailmkt&amp;utm_campaign=##ApproachStart##-Descontinuacao-assinatura-discovery-kids_vivo_b2c_servicosdigitais_servicosdigitais_duo_comunicado&amp;utm_content=___&amp;utm_term=##IDPlay##_</v>
      </c>
      <c r="B36" s="87" t="s">
        <v>430</v>
      </c>
      <c r="C36" s="10" t="s">
        <v>160</v>
      </c>
      <c r="D36" s="10" t="s">
        <v>94</v>
      </c>
      <c r="E36" s="10" t="s">
        <v>431</v>
      </c>
      <c r="F36" s="10" t="s">
        <v>44</v>
      </c>
      <c r="G36" s="10" t="s">
        <v>45</v>
      </c>
      <c r="H36" s="10" t="s">
        <v>141</v>
      </c>
      <c r="I36" s="10" t="s">
        <v>141</v>
      </c>
      <c r="J36" s="10" t="s">
        <v>143</v>
      </c>
      <c r="K36" s="10" t="s">
        <v>68</v>
      </c>
      <c r="L36" s="10" t="s">
        <v>35</v>
      </c>
      <c r="M36" s="10" t="s">
        <v>36</v>
      </c>
      <c r="N36" s="10" t="s">
        <v>37</v>
      </c>
      <c r="O36" s="10" t="s">
        <v>38</v>
      </c>
      <c r="P36" s="10" t="s">
        <v>39</v>
      </c>
      <c r="Q36" s="10" t="s">
        <v>40</v>
      </c>
      <c r="R36" s="10" t="s">
        <v>41</v>
      </c>
      <c r="Y36" s="10" t="s">
        <v>382</v>
      </c>
      <c r="AA36" s="74" t="str">
        <f t="shared" si="3"/>
        <v>?</v>
      </c>
    </row>
    <row r="37" ht="14.25" customHeight="1">
      <c r="A37" s="72" t="str">
        <f t="shared" si="2"/>
        <v>https://www.vivoplay.com.br/catalog/bilheteria-8538/lancamentos-8285?utm_source=mktcloud&amp;utm_medium=emailmkt&amp;utm_campaign=##ApproachStart##-Lancamento-2809-voucher_vivo_b2c_servicosdigitais_servicosdigitais_duo_oferta&amp;utm_content=___&amp;utm_term=##IDPlay##_</v>
      </c>
      <c r="B37" s="78" t="s">
        <v>432</v>
      </c>
      <c r="C37" s="10" t="s">
        <v>160</v>
      </c>
      <c r="D37" s="10" t="s">
        <v>94</v>
      </c>
      <c r="E37" s="10" t="s">
        <v>433</v>
      </c>
      <c r="F37" s="10" t="s">
        <v>44</v>
      </c>
      <c r="G37" s="10" t="s">
        <v>45</v>
      </c>
      <c r="H37" s="10" t="s">
        <v>141</v>
      </c>
      <c r="I37" s="10" t="s">
        <v>141</v>
      </c>
      <c r="J37" s="10" t="s">
        <v>143</v>
      </c>
      <c r="K37" s="10" t="s">
        <v>117</v>
      </c>
      <c r="L37" s="10" t="s">
        <v>35</v>
      </c>
      <c r="M37" s="10" t="s">
        <v>36</v>
      </c>
      <c r="N37" s="10" t="s">
        <v>37</v>
      </c>
      <c r="O37" s="10" t="s">
        <v>38</v>
      </c>
      <c r="P37" s="10" t="s">
        <v>39</v>
      </c>
      <c r="Q37" s="10" t="s">
        <v>40</v>
      </c>
      <c r="R37" s="10" t="s">
        <v>41</v>
      </c>
      <c r="Y37" s="10" t="s">
        <v>382</v>
      </c>
      <c r="AA37" s="74" t="str">
        <f t="shared" si="3"/>
        <v>?</v>
      </c>
    </row>
    <row r="38" ht="14.25" customHeight="1">
      <c r="A38" s="10" t="str">
        <f t="shared" si="2"/>
        <v>?utm_source=mktcloud&amp;utm_medium=emailmkt&amp;utm_campaign=##ApproachStart##-Paramount-destaques-setembro_vivo_b2c_servicosdigitais_servicosdigitais_duo_oferta&amp;utm_content=___&amp;utm_term=##IDPlay##_</v>
      </c>
      <c r="C38" s="10" t="s">
        <v>160</v>
      </c>
      <c r="D38" s="10" t="s">
        <v>94</v>
      </c>
      <c r="E38" s="10" t="s">
        <v>434</v>
      </c>
      <c r="F38" s="10" t="s">
        <v>44</v>
      </c>
      <c r="G38" s="10" t="s">
        <v>45</v>
      </c>
      <c r="H38" s="10" t="s">
        <v>141</v>
      </c>
      <c r="I38" s="10" t="s">
        <v>141</v>
      </c>
      <c r="J38" s="10" t="s">
        <v>143</v>
      </c>
      <c r="K38" s="10" t="s">
        <v>117</v>
      </c>
      <c r="L38" s="10" t="s">
        <v>35</v>
      </c>
      <c r="M38" s="10" t="s">
        <v>36</v>
      </c>
      <c r="N38" s="10" t="s">
        <v>37</v>
      </c>
      <c r="O38" s="10" t="s">
        <v>38</v>
      </c>
      <c r="P38" s="10" t="s">
        <v>39</v>
      </c>
      <c r="Q38" s="10" t="s">
        <v>40</v>
      </c>
      <c r="R38" s="10" t="s">
        <v>41</v>
      </c>
      <c r="Y38" s="10" t="s">
        <v>382</v>
      </c>
      <c r="AA38" s="74" t="str">
        <f t="shared" si="3"/>
        <v>?</v>
      </c>
    </row>
    <row r="39" ht="14.25" customHeight="1">
      <c r="A39" s="10" t="str">
        <f t="shared" si="2"/>
        <v>?utm_source=mktcloud&amp;utm_medium=emailmkt&amp;utm_campaign=##ApproachStart##-Lancamento-Space-Jam_vivo_b2c_servicosdigitais_servicosdigitais_duo_oferta&amp;utm_content=___&amp;utm_term=##IDPlay##_</v>
      </c>
      <c r="C39" s="10" t="s">
        <v>160</v>
      </c>
      <c r="D39" s="10" t="s">
        <v>94</v>
      </c>
      <c r="E39" s="10" t="s">
        <v>435</v>
      </c>
      <c r="F39" s="10" t="s">
        <v>44</v>
      </c>
      <c r="G39" s="10" t="s">
        <v>45</v>
      </c>
      <c r="H39" s="10" t="s">
        <v>141</v>
      </c>
      <c r="I39" s="10" t="s">
        <v>141</v>
      </c>
      <c r="J39" s="10" t="s">
        <v>143</v>
      </c>
      <c r="K39" s="10" t="s">
        <v>117</v>
      </c>
      <c r="L39" s="10" t="s">
        <v>35</v>
      </c>
      <c r="M39" s="10" t="s">
        <v>36</v>
      </c>
      <c r="N39" s="10" t="s">
        <v>37</v>
      </c>
      <c r="O39" s="10" t="s">
        <v>38</v>
      </c>
      <c r="P39" s="10" t="s">
        <v>39</v>
      </c>
      <c r="Q39" s="10" t="s">
        <v>40</v>
      </c>
      <c r="R39" s="10" t="s">
        <v>41</v>
      </c>
      <c r="Y39" s="10" t="s">
        <v>382</v>
      </c>
      <c r="AA39" s="74" t="str">
        <f t="shared" si="3"/>
        <v>?</v>
      </c>
    </row>
    <row r="40" ht="14.25" customHeight="1">
      <c r="A40" s="10" t="str">
        <f t="shared" si="2"/>
        <v>?utm_source=mktcloud&amp;utm_medium=emailmkt&amp;utm_campaign=##ApproachStart##-Lancamento-filme-0309-Espiral_vivo_b2c_servicosdigitais_servicosdigitais_duo_oferta&amp;utm_content=___&amp;utm_term=##IDPlay##_</v>
      </c>
      <c r="C40" s="10" t="s">
        <v>160</v>
      </c>
      <c r="D40" s="10" t="s">
        <v>94</v>
      </c>
      <c r="E40" s="10" t="s">
        <v>436</v>
      </c>
      <c r="F40" s="10" t="s">
        <v>44</v>
      </c>
      <c r="G40" s="10" t="s">
        <v>45</v>
      </c>
      <c r="H40" s="10" t="s">
        <v>141</v>
      </c>
      <c r="I40" s="10" t="s">
        <v>141</v>
      </c>
      <c r="J40" s="10" t="s">
        <v>143</v>
      </c>
      <c r="K40" s="10" t="s">
        <v>117</v>
      </c>
      <c r="L40" s="10" t="s">
        <v>35</v>
      </c>
      <c r="M40" s="10" t="s">
        <v>36</v>
      </c>
      <c r="N40" s="10" t="s">
        <v>37</v>
      </c>
      <c r="O40" s="10" t="s">
        <v>38</v>
      </c>
      <c r="P40" s="10" t="s">
        <v>39</v>
      </c>
      <c r="Q40" s="10" t="s">
        <v>40</v>
      </c>
      <c r="R40" s="10" t="s">
        <v>41</v>
      </c>
      <c r="Y40" s="10" t="s">
        <v>382</v>
      </c>
      <c r="AA40" s="74" t="str">
        <f t="shared" si="3"/>
        <v>?</v>
      </c>
    </row>
    <row r="41" ht="14.25" customHeight="1">
      <c r="A41" s="10" t="str">
        <f t="shared" si="2"/>
        <v>?utm_source=mktcloud&amp;utm_medium=emailmkt&amp;utm_campaign=##ApproachStart##-Lancamento-filme-0309-Croods_vivo_b2c_servicosdigitais_servicosdigitais_duo_oferta&amp;utm_content=___&amp;utm_term=##IDPlay##_</v>
      </c>
      <c r="C41" s="10" t="s">
        <v>160</v>
      </c>
      <c r="D41" s="10" t="s">
        <v>94</v>
      </c>
      <c r="E41" s="10" t="s">
        <v>437</v>
      </c>
      <c r="F41" s="10" t="s">
        <v>44</v>
      </c>
      <c r="G41" s="10" t="s">
        <v>45</v>
      </c>
      <c r="H41" s="10" t="s">
        <v>141</v>
      </c>
      <c r="I41" s="10" t="s">
        <v>141</v>
      </c>
      <c r="J41" s="10" t="s">
        <v>143</v>
      </c>
      <c r="K41" s="10" t="s">
        <v>117</v>
      </c>
      <c r="L41" s="10" t="s">
        <v>35</v>
      </c>
      <c r="M41" s="10" t="s">
        <v>36</v>
      </c>
      <c r="N41" s="10" t="s">
        <v>37</v>
      </c>
      <c r="O41" s="10" t="s">
        <v>38</v>
      </c>
      <c r="P41" s="10" t="s">
        <v>39</v>
      </c>
      <c r="Q41" s="10" t="s">
        <v>40</v>
      </c>
      <c r="R41" s="10" t="s">
        <v>41</v>
      </c>
      <c r="Y41" s="10" t="s">
        <v>382</v>
      </c>
      <c r="AA41" s="74" t="str">
        <f t="shared" si="3"/>
        <v>?</v>
      </c>
    </row>
    <row r="42" ht="14.25" customHeight="1">
      <c r="A42" s="10" t="str">
        <f t="shared" si="2"/>
        <v>?utm_source=mktcloud&amp;utm_medium=emailmkt&amp;utm_campaign=##ApproachStart##-Lancamento-filme-0309-Dont-tell-soul_vivo_b2c_servicosdigitais_servicosdigitais_duo_oferta&amp;utm_content=___&amp;utm_term=##IDPlay##_</v>
      </c>
      <c r="C42" s="10" t="s">
        <v>160</v>
      </c>
      <c r="D42" s="10" t="s">
        <v>94</v>
      </c>
      <c r="E42" s="10" t="s">
        <v>438</v>
      </c>
      <c r="F42" s="10" t="s">
        <v>44</v>
      </c>
      <c r="G42" s="10" t="s">
        <v>45</v>
      </c>
      <c r="H42" s="10" t="s">
        <v>141</v>
      </c>
      <c r="I42" s="10" t="s">
        <v>141</v>
      </c>
      <c r="J42" s="10" t="s">
        <v>143</v>
      </c>
      <c r="K42" s="10" t="s">
        <v>117</v>
      </c>
      <c r="L42" s="10" t="s">
        <v>35</v>
      </c>
      <c r="M42" s="10" t="s">
        <v>36</v>
      </c>
      <c r="N42" s="10" t="s">
        <v>37</v>
      </c>
      <c r="O42" s="10" t="s">
        <v>38</v>
      </c>
      <c r="P42" s="10" t="s">
        <v>39</v>
      </c>
      <c r="Q42" s="10" t="s">
        <v>40</v>
      </c>
      <c r="R42" s="10" t="s">
        <v>41</v>
      </c>
      <c r="Y42" s="10" t="s">
        <v>382</v>
      </c>
      <c r="AA42" s="74" t="str">
        <f t="shared" si="3"/>
        <v>?</v>
      </c>
    </row>
    <row r="43" ht="14.25" customHeight="1">
      <c r="A43" s="10" t="str">
        <f>B43&amp;AA43&amp;"utm_source="&amp;C43&amp;"&amp;"&amp;"utm_medium="&amp;D43&amp;"&amp;"&amp;"utm_campaign="&amp;E47&amp;"_"&amp;F43&amp;"_"&amp;G43&amp;"_"&amp;H43&amp;"_"&amp;I43&amp;"_"&amp;J43&amp;"_"&amp;K43&amp;"&amp;"&amp;"utm_content="&amp;U43&amp;"_"&amp;V43&amp;"_"&amp;W43&amp;"_"&amp;X43&amp;"&amp;"&amp;"utm_term="&amp;Y43&amp;"_"&amp;Z43</f>
        <v>?utm_source=mktcloud&amp;utm_medium=emailmkt&amp;utm_campaign=##ApproachStart##-Assinatura-Vivo-Pay_vivo_b2c_servicosdigitais_servicosdigitais_duo_oferta&amp;utm_content=___&amp;utm_term=##IDPlay##_</v>
      </c>
      <c r="C43" s="10" t="s">
        <v>160</v>
      </c>
      <c r="D43" s="10" t="s">
        <v>94</v>
      </c>
      <c r="E43" s="10" t="s">
        <v>439</v>
      </c>
      <c r="F43" s="10" t="s">
        <v>44</v>
      </c>
      <c r="G43" s="10" t="s">
        <v>45</v>
      </c>
      <c r="H43" s="10" t="s">
        <v>141</v>
      </c>
      <c r="I43" s="10" t="s">
        <v>141</v>
      </c>
      <c r="J43" s="10" t="s">
        <v>143</v>
      </c>
      <c r="K43" s="10" t="s">
        <v>117</v>
      </c>
      <c r="L43" s="10" t="s">
        <v>35</v>
      </c>
      <c r="M43" s="10" t="s">
        <v>36</v>
      </c>
      <c r="N43" s="10" t="s">
        <v>37</v>
      </c>
      <c r="O43" s="10" t="s">
        <v>38</v>
      </c>
      <c r="P43" s="10" t="s">
        <v>39</v>
      </c>
      <c r="Q43" s="10" t="s">
        <v>40</v>
      </c>
      <c r="R43" s="10" t="s">
        <v>41</v>
      </c>
      <c r="Y43" s="10" t="s">
        <v>382</v>
      </c>
      <c r="AA43" s="74" t="str">
        <f t="shared" si="3"/>
        <v>?</v>
      </c>
    </row>
    <row r="44" ht="14.25" customHeight="1">
      <c r="A44" s="10" t="str">
        <f t="shared" ref="A44:A73" si="4">B44&amp;AA44&amp;"utm_source="&amp;C44&amp;"&amp;"&amp;"utm_medium="&amp;D44&amp;"&amp;"&amp;"utm_campaign="&amp;E44&amp;"_"&amp;F44&amp;"_"&amp;G44&amp;"_"&amp;H44&amp;"_"&amp;I44&amp;"_"&amp;J44&amp;"_"&amp;K44&amp;"&amp;"&amp;"utm_content="&amp;U44&amp;"_"&amp;V44&amp;"_"&amp;W44&amp;"_"&amp;X44&amp;"&amp;"&amp;"utm_term="&amp;Y44&amp;"_"&amp;Z44</f>
        <v>?utm_source=mktcloud&amp;utm_medium=emailmkt&amp;utm_campaign=##ApproachStart##-Lancamento-filme-0309-mundo-em-caos_vivo_b2c_servicosdigitais_servicosdigitais_duo_oferta&amp;utm_content=___&amp;utm_term=##IDPlay##_</v>
      </c>
      <c r="C44" s="10" t="s">
        <v>160</v>
      </c>
      <c r="D44" s="10" t="s">
        <v>94</v>
      </c>
      <c r="E44" s="10" t="s">
        <v>440</v>
      </c>
      <c r="F44" s="10" t="s">
        <v>44</v>
      </c>
      <c r="G44" s="10" t="s">
        <v>45</v>
      </c>
      <c r="H44" s="10" t="s">
        <v>141</v>
      </c>
      <c r="I44" s="10" t="s">
        <v>141</v>
      </c>
      <c r="J44" s="10" t="s">
        <v>143</v>
      </c>
      <c r="K44" s="10" t="s">
        <v>117</v>
      </c>
      <c r="L44" s="10" t="s">
        <v>35</v>
      </c>
      <c r="M44" s="10" t="s">
        <v>36</v>
      </c>
      <c r="N44" s="10" t="s">
        <v>37</v>
      </c>
      <c r="O44" s="10" t="s">
        <v>38</v>
      </c>
      <c r="P44" s="10" t="s">
        <v>39</v>
      </c>
      <c r="Q44" s="10" t="s">
        <v>40</v>
      </c>
      <c r="R44" s="10" t="s">
        <v>41</v>
      </c>
      <c r="Y44" s="10" t="s">
        <v>382</v>
      </c>
      <c r="AA44" s="74" t="str">
        <f t="shared" si="3"/>
        <v>?</v>
      </c>
    </row>
    <row r="45" ht="14.25" customHeight="1">
      <c r="A45" s="72" t="str">
        <f t="shared" si="4"/>
        <v>https://www.vivoplay.com.br/details/movie/infinite-dual-audio-16028186?utm_source=mktcloud&amp;utm_medium=emailmkt&amp;utm_campaign=##ApproachStart##-Lancamento-filme-0309-infinite_vivo_b2c_servicosdigitais_servicosdigitais_duo_oferta&amp;utm_content=___&amp;utm_term=##IDPlay##_</v>
      </c>
      <c r="B45" s="78" t="s">
        <v>441</v>
      </c>
      <c r="C45" s="10" t="s">
        <v>160</v>
      </c>
      <c r="D45" s="10" t="s">
        <v>94</v>
      </c>
      <c r="E45" s="10" t="s">
        <v>442</v>
      </c>
      <c r="F45" s="10" t="s">
        <v>44</v>
      </c>
      <c r="G45" s="10" t="s">
        <v>45</v>
      </c>
      <c r="H45" s="10" t="s">
        <v>141</v>
      </c>
      <c r="I45" s="10" t="s">
        <v>141</v>
      </c>
      <c r="J45" s="10" t="s">
        <v>143</v>
      </c>
      <c r="K45" s="10" t="s">
        <v>117</v>
      </c>
      <c r="L45" s="10" t="s">
        <v>35</v>
      </c>
      <c r="M45" s="10" t="s">
        <v>36</v>
      </c>
      <c r="N45" s="10" t="s">
        <v>37</v>
      </c>
      <c r="O45" s="10" t="s">
        <v>38</v>
      </c>
      <c r="P45" s="10" t="s">
        <v>39</v>
      </c>
      <c r="Q45" s="10" t="s">
        <v>40</v>
      </c>
      <c r="R45" s="10" t="s">
        <v>41</v>
      </c>
      <c r="Y45" s="10" t="s">
        <v>382</v>
      </c>
      <c r="AA45" s="74" t="str">
        <f t="shared" si="3"/>
        <v>?</v>
      </c>
    </row>
    <row r="46" ht="14.25" customHeight="1">
      <c r="A46" s="72" t="str">
        <f t="shared" si="4"/>
        <v>https://www.vivoplay.com.br/details/movie/wander-dual-audio-16140023?utm_source=mktcloud&amp;utm_medium=emailmkt&amp;utm_campaign=##ApproachStart##-Lancamento-filme-0309-wander_vivo_b2c_servicosdigitais_servicosdigitais_duo_oferta&amp;utm_content=___&amp;utm_term=##IDPlay##_</v>
      </c>
      <c r="B46" s="78" t="s">
        <v>443</v>
      </c>
      <c r="C46" s="10" t="s">
        <v>160</v>
      </c>
      <c r="D46" s="10" t="s">
        <v>94</v>
      </c>
      <c r="E46" s="10" t="s">
        <v>444</v>
      </c>
      <c r="F46" s="10" t="s">
        <v>44</v>
      </c>
      <c r="G46" s="10" t="s">
        <v>45</v>
      </c>
      <c r="H46" s="10" t="s">
        <v>141</v>
      </c>
      <c r="I46" s="10" t="s">
        <v>141</v>
      </c>
      <c r="J46" s="10" t="s">
        <v>143</v>
      </c>
      <c r="K46" s="10" t="s">
        <v>117</v>
      </c>
      <c r="L46" s="10" t="s">
        <v>35</v>
      </c>
      <c r="M46" s="10" t="s">
        <v>36</v>
      </c>
      <c r="N46" s="10" t="s">
        <v>37</v>
      </c>
      <c r="O46" s="10" t="s">
        <v>38</v>
      </c>
      <c r="P46" s="10" t="s">
        <v>39</v>
      </c>
      <c r="Q46" s="10" t="s">
        <v>40</v>
      </c>
      <c r="R46" s="10" t="s">
        <v>41</v>
      </c>
      <c r="Y46" s="10" t="s">
        <v>382</v>
      </c>
      <c r="AA46" s="74" t="str">
        <f t="shared" si="3"/>
        <v>?</v>
      </c>
    </row>
    <row r="47" ht="14.25" customHeight="1">
      <c r="A47" s="10" t="str">
        <f t="shared" si="4"/>
        <v>?utm_source=mktcloud&amp;utm_medium=emailmkt&amp;utm_campaign=##ApproachStart##-Assinatura-Vivo-Pay_selecione_selecione_selecione_selecione_selecione_selecione&amp;utm_content=___&amp;utm_term=##IDPlay##_</v>
      </c>
      <c r="C47" s="10" t="s">
        <v>160</v>
      </c>
      <c r="D47" s="10" t="s">
        <v>94</v>
      </c>
      <c r="E47" s="10" t="s">
        <v>445</v>
      </c>
      <c r="F47" s="10" t="s">
        <v>34</v>
      </c>
      <c r="G47" s="10" t="s">
        <v>34</v>
      </c>
      <c r="H47" s="10" t="s">
        <v>34</v>
      </c>
      <c r="I47" s="10" t="s">
        <v>34</v>
      </c>
      <c r="J47" s="10" t="s">
        <v>34</v>
      </c>
      <c r="K47" s="10" t="s">
        <v>34</v>
      </c>
      <c r="L47" s="10" t="s">
        <v>35</v>
      </c>
      <c r="M47" s="10" t="s">
        <v>36</v>
      </c>
      <c r="N47" s="10" t="s">
        <v>37</v>
      </c>
      <c r="O47" s="10" t="s">
        <v>38</v>
      </c>
      <c r="P47" s="10" t="s">
        <v>39</v>
      </c>
      <c r="Q47" s="10" t="s">
        <v>40</v>
      </c>
      <c r="R47" s="10" t="s">
        <v>41</v>
      </c>
      <c r="Y47" s="10" t="s">
        <v>382</v>
      </c>
      <c r="AA47" s="74" t="str">
        <f t="shared" si="3"/>
        <v>?</v>
      </c>
    </row>
    <row r="48" ht="14.25" customHeight="1">
      <c r="A48" s="10" t="str">
        <f t="shared" si="4"/>
        <v>?utm_source=mktcloud&amp;utm_medium=emailmkt&amp;utm_campaign=##ApproachStart##-Renova-upgrade-samsung_vivo_b2c_ecommerce_terminais_none_comunicado&amp;utm_content=___&amp;utm_term=##IDPlay##_</v>
      </c>
      <c r="C48" s="10" t="s">
        <v>160</v>
      </c>
      <c r="D48" s="10" t="s">
        <v>94</v>
      </c>
      <c r="E48" s="10" t="s">
        <v>446</v>
      </c>
      <c r="F48" s="10" t="s">
        <v>44</v>
      </c>
      <c r="G48" s="10" t="s">
        <v>45</v>
      </c>
      <c r="H48" s="10" t="s">
        <v>95</v>
      </c>
      <c r="I48" s="10" t="s">
        <v>189</v>
      </c>
      <c r="J48" s="10" t="s">
        <v>168</v>
      </c>
      <c r="K48" s="10" t="s">
        <v>68</v>
      </c>
      <c r="L48" s="10" t="s">
        <v>35</v>
      </c>
      <c r="M48" s="10" t="s">
        <v>36</v>
      </c>
      <c r="N48" s="10" t="s">
        <v>37</v>
      </c>
      <c r="O48" s="10" t="s">
        <v>38</v>
      </c>
      <c r="P48" s="10" t="s">
        <v>39</v>
      </c>
      <c r="Q48" s="10" t="s">
        <v>40</v>
      </c>
      <c r="R48" s="10" t="s">
        <v>41</v>
      </c>
      <c r="Y48" s="10" t="s">
        <v>382</v>
      </c>
      <c r="AA48" s="74" t="str">
        <f t="shared" si="3"/>
        <v>?</v>
      </c>
    </row>
    <row r="49" ht="14.25" customHeight="1">
      <c r="A49" s="10" t="str">
        <f t="shared" si="4"/>
        <v>?utm_source=mktcloud&amp;utm_medium=emailmkt&amp;utm_campaign=##ApproachStart##-Descontinuacao-assinatura-cartoon-network_vivo_b2c_servicosdigitais_servicosdigitais_duo_comunicado&amp;utm_content=___&amp;utm_term=##IDPlay##_</v>
      </c>
      <c r="C49" s="10" t="s">
        <v>160</v>
      </c>
      <c r="D49" s="10" t="s">
        <v>94</v>
      </c>
      <c r="E49" s="10" t="s">
        <v>447</v>
      </c>
      <c r="F49" s="10" t="s">
        <v>44</v>
      </c>
      <c r="G49" s="10" t="s">
        <v>45</v>
      </c>
      <c r="H49" s="10" t="s">
        <v>141</v>
      </c>
      <c r="I49" s="10" t="s">
        <v>141</v>
      </c>
      <c r="J49" s="10" t="s">
        <v>143</v>
      </c>
      <c r="K49" s="10" t="s">
        <v>68</v>
      </c>
      <c r="L49" s="10" t="s">
        <v>35</v>
      </c>
      <c r="M49" s="10" t="s">
        <v>36</v>
      </c>
      <c r="N49" s="10" t="s">
        <v>37</v>
      </c>
      <c r="O49" s="10" t="s">
        <v>38</v>
      </c>
      <c r="P49" s="10" t="s">
        <v>39</v>
      </c>
      <c r="Q49" s="10" t="s">
        <v>40</v>
      </c>
      <c r="R49" s="10" t="s">
        <v>41</v>
      </c>
      <c r="Y49" s="10" t="s">
        <v>382</v>
      </c>
      <c r="AA49" s="74" t="str">
        <f t="shared" si="3"/>
        <v>?</v>
      </c>
    </row>
    <row r="50" ht="14.25" customHeight="1">
      <c r="A50" s="72" t="str">
        <f t="shared" si="4"/>
        <v>https://vivoemdia.vivo.com.br/?utm_source=mktcloud&amp;utm_medium=emailmkt&amp;utm_campaign=##ApproachStart##-Tracking-pedido-cliente-alta_vivo_b2c_movel_controle_vivo-controle_relacionamento&amp;utm_content=___&amp;utm_term=##IDPlay##_</v>
      </c>
      <c r="B50" s="78" t="s">
        <v>422</v>
      </c>
      <c r="C50" s="10" t="s">
        <v>160</v>
      </c>
      <c r="D50" s="10" t="s">
        <v>94</v>
      </c>
      <c r="E50" s="10" t="s">
        <v>448</v>
      </c>
      <c r="F50" s="10" t="s">
        <v>44</v>
      </c>
      <c r="G50" s="10" t="s">
        <v>45</v>
      </c>
      <c r="H50" s="10" t="s">
        <v>124</v>
      </c>
      <c r="I50" s="10" t="s">
        <v>66</v>
      </c>
      <c r="J50" s="10" t="s">
        <v>255</v>
      </c>
      <c r="K50" s="10" t="s">
        <v>144</v>
      </c>
      <c r="L50" s="10" t="s">
        <v>35</v>
      </c>
      <c r="M50" s="10" t="s">
        <v>36</v>
      </c>
      <c r="N50" s="10" t="s">
        <v>37</v>
      </c>
      <c r="O50" s="10" t="s">
        <v>38</v>
      </c>
      <c r="P50" s="10" t="s">
        <v>39</v>
      </c>
      <c r="Q50" s="10" t="s">
        <v>40</v>
      </c>
      <c r="R50" s="10" t="s">
        <v>41</v>
      </c>
      <c r="Y50" s="10" t="s">
        <v>382</v>
      </c>
      <c r="AA50" s="74" t="str">
        <f t="shared" si="3"/>
        <v>?</v>
      </c>
    </row>
    <row r="51" ht="14.25" customHeight="1">
      <c r="A51" s="72" t="str">
        <f t="shared" si="4"/>
        <v>https://www.vivo.com.br/para-voce/ajuda/mais-ajuda/encontre-uma-loja?utm_source=mktcloud&amp;utm_medium=emailmkt&amp;utm_campaign=##ApproachStart##-Upgrade-fibra_vivo_b2c_fixa_internet-fixa_vivo-fibra_upgrade&amp;utm_content=___&amp;utm_term=##IDPlay##_</v>
      </c>
      <c r="B51" s="88" t="s">
        <v>449</v>
      </c>
      <c r="C51" s="10" t="s">
        <v>160</v>
      </c>
      <c r="D51" s="10" t="s">
        <v>94</v>
      </c>
      <c r="E51" s="10" t="s">
        <v>450</v>
      </c>
      <c r="F51" s="10" t="s">
        <v>44</v>
      </c>
      <c r="G51" s="10" t="s">
        <v>45</v>
      </c>
      <c r="H51" s="10" t="s">
        <v>108</v>
      </c>
      <c r="I51" s="10" t="s">
        <v>229</v>
      </c>
      <c r="J51" s="10" t="s">
        <v>259</v>
      </c>
      <c r="K51" s="10" t="s">
        <v>157</v>
      </c>
      <c r="L51" s="10" t="s">
        <v>35</v>
      </c>
      <c r="M51" s="10" t="s">
        <v>36</v>
      </c>
      <c r="N51" s="10" t="s">
        <v>37</v>
      </c>
      <c r="O51" s="10" t="s">
        <v>38</v>
      </c>
      <c r="P51" s="10" t="s">
        <v>39</v>
      </c>
      <c r="Q51" s="10" t="s">
        <v>40</v>
      </c>
      <c r="R51" s="10" t="s">
        <v>41</v>
      </c>
      <c r="Y51" s="10" t="s">
        <v>382</v>
      </c>
      <c r="AA51" s="74" t="str">
        <f t="shared" si="3"/>
        <v>?</v>
      </c>
    </row>
    <row r="52" ht="14.25" customHeight="1">
      <c r="A52" s="10" t="str">
        <f t="shared" si="4"/>
        <v>?utm_source=mktcloud&amp;utm_medium=emailmkt&amp;utm_campaign=##ApproachStart##-Ciclo-vida-cliente-AirPods-Pro_vivo_b2c_ecommerce_terminais_none_oferta&amp;utm_content=CTA1___&amp;utm_term=##IDPlay##_</v>
      </c>
      <c r="C52" s="10" t="s">
        <v>160</v>
      </c>
      <c r="D52" s="10" t="s">
        <v>94</v>
      </c>
      <c r="E52" s="10" t="s">
        <v>451</v>
      </c>
      <c r="F52" s="10" t="s">
        <v>44</v>
      </c>
      <c r="G52" s="10" t="s">
        <v>45</v>
      </c>
      <c r="H52" s="10" t="s">
        <v>95</v>
      </c>
      <c r="I52" s="10" t="s">
        <v>189</v>
      </c>
      <c r="J52" s="10" t="s">
        <v>168</v>
      </c>
      <c r="K52" s="10" t="s">
        <v>117</v>
      </c>
      <c r="L52" s="10" t="s">
        <v>35</v>
      </c>
      <c r="M52" s="10" t="s">
        <v>36</v>
      </c>
      <c r="N52" s="10" t="s">
        <v>37</v>
      </c>
      <c r="O52" s="10" t="s">
        <v>38</v>
      </c>
      <c r="P52" s="10" t="s">
        <v>39</v>
      </c>
      <c r="Q52" s="10" t="s">
        <v>40</v>
      </c>
      <c r="R52" s="10" t="s">
        <v>41</v>
      </c>
      <c r="U52" s="10" t="s">
        <v>387</v>
      </c>
      <c r="Y52" s="10" t="s">
        <v>382</v>
      </c>
      <c r="AA52" s="74" t="str">
        <f t="shared" si="3"/>
        <v>?</v>
      </c>
    </row>
    <row r="53" ht="14.25" customHeight="1">
      <c r="A53" s="10" t="str">
        <f t="shared" si="4"/>
        <v>?utm_source=mktcloud&amp;utm_medium=emailmkt&amp;utm_campaign=##ApproachStart##-Ciclo-vida-cliente-MagSafe_vivo_b2c_ecommerce_terminais_none_oferta&amp;utm_content=CTA2___&amp;utm_term=##IDPlay##_</v>
      </c>
      <c r="C53" s="10" t="s">
        <v>160</v>
      </c>
      <c r="D53" s="10" t="s">
        <v>94</v>
      </c>
      <c r="E53" s="10" t="s">
        <v>452</v>
      </c>
      <c r="F53" s="10" t="s">
        <v>44</v>
      </c>
      <c r="G53" s="10" t="s">
        <v>45</v>
      </c>
      <c r="H53" s="10" t="s">
        <v>95</v>
      </c>
      <c r="I53" s="10" t="s">
        <v>189</v>
      </c>
      <c r="J53" s="10" t="s">
        <v>168</v>
      </c>
      <c r="K53" s="10" t="s">
        <v>117</v>
      </c>
      <c r="L53" s="10" t="s">
        <v>35</v>
      </c>
      <c r="M53" s="10" t="s">
        <v>36</v>
      </c>
      <c r="N53" s="10" t="s">
        <v>37</v>
      </c>
      <c r="O53" s="10" t="s">
        <v>38</v>
      </c>
      <c r="P53" s="10" t="s">
        <v>39</v>
      </c>
      <c r="Q53" s="10" t="s">
        <v>40</v>
      </c>
      <c r="R53" s="10" t="s">
        <v>41</v>
      </c>
      <c r="U53" s="10" t="s">
        <v>393</v>
      </c>
      <c r="Y53" s="10" t="s">
        <v>382</v>
      </c>
      <c r="AA53" s="74" t="str">
        <f t="shared" si="3"/>
        <v>?</v>
      </c>
    </row>
    <row r="54" ht="14.25" customHeight="1">
      <c r="A54" s="10" t="str">
        <f t="shared" si="4"/>
        <v>?utm_source=mktcloud&amp;utm_medium=emailmkt&amp;utm_campaign=##ApproachStart##-Ciclo-vida-cliente-Seguros_vivo_b2c_ecommerce_terminais_none_oferta&amp;utm_content=CTA3___&amp;utm_term=##IDPlay##_</v>
      </c>
      <c r="C54" s="10" t="s">
        <v>160</v>
      </c>
      <c r="D54" s="10" t="s">
        <v>94</v>
      </c>
      <c r="E54" s="10" t="s">
        <v>453</v>
      </c>
      <c r="F54" s="10" t="s">
        <v>44</v>
      </c>
      <c r="G54" s="10" t="s">
        <v>45</v>
      </c>
      <c r="H54" s="10" t="s">
        <v>95</v>
      </c>
      <c r="I54" s="10" t="s">
        <v>189</v>
      </c>
      <c r="J54" s="10" t="s">
        <v>168</v>
      </c>
      <c r="K54" s="10" t="s">
        <v>117</v>
      </c>
      <c r="L54" s="10" t="s">
        <v>35</v>
      </c>
      <c r="M54" s="10" t="s">
        <v>36</v>
      </c>
      <c r="N54" s="10" t="s">
        <v>37</v>
      </c>
      <c r="O54" s="10" t="s">
        <v>38</v>
      </c>
      <c r="P54" s="10" t="s">
        <v>39</v>
      </c>
      <c r="Q54" s="10" t="s">
        <v>40</v>
      </c>
      <c r="R54" s="10" t="s">
        <v>41</v>
      </c>
      <c r="U54" s="10" t="s">
        <v>395</v>
      </c>
      <c r="Y54" s="10" t="s">
        <v>382</v>
      </c>
      <c r="AA54" s="74" t="str">
        <f t="shared" si="3"/>
        <v>?</v>
      </c>
    </row>
    <row r="55" ht="14.25" customHeight="1">
      <c r="A55" s="10" t="str">
        <f t="shared" si="4"/>
        <v>?utm_source=mktcloud&amp;utm_medium=emailmkt&amp;utm_campaign=##ApproachStart##-Ciclo-vida-cliente-AirPods_vivo_b2c_ecommerce_terminais_none_oferta&amp;utm_content=CTA4___&amp;utm_term=##IDPlay##_</v>
      </c>
      <c r="C55" s="10" t="s">
        <v>160</v>
      </c>
      <c r="D55" s="10" t="s">
        <v>94</v>
      </c>
      <c r="E55" s="10" t="s">
        <v>454</v>
      </c>
      <c r="F55" s="10" t="s">
        <v>44</v>
      </c>
      <c r="G55" s="10" t="s">
        <v>45</v>
      </c>
      <c r="H55" s="10" t="s">
        <v>95</v>
      </c>
      <c r="I55" s="10" t="s">
        <v>189</v>
      </c>
      <c r="J55" s="10" t="s">
        <v>168</v>
      </c>
      <c r="K55" s="10" t="s">
        <v>117</v>
      </c>
      <c r="L55" s="10" t="s">
        <v>35</v>
      </c>
      <c r="M55" s="10" t="s">
        <v>36</v>
      </c>
      <c r="N55" s="10" t="s">
        <v>37</v>
      </c>
      <c r="O55" s="10" t="s">
        <v>38</v>
      </c>
      <c r="P55" s="10" t="s">
        <v>39</v>
      </c>
      <c r="Q55" s="10" t="s">
        <v>40</v>
      </c>
      <c r="R55" s="10" t="s">
        <v>41</v>
      </c>
      <c r="U55" s="10" t="s">
        <v>397</v>
      </c>
      <c r="Y55" s="10" t="s">
        <v>382</v>
      </c>
      <c r="AA55" s="74" t="str">
        <f t="shared" si="3"/>
        <v>?</v>
      </c>
    </row>
    <row r="56" ht="14.25" customHeight="1">
      <c r="A56" s="10" t="str">
        <f t="shared" si="4"/>
        <v>?utm_source=mktcloud&amp;utm_medium=emailmkt&amp;utm_campaign=##ApproachStart##-Ciclo-vida-cliente-AirTag_vivo_b2c_ecommerce_terminais_none_oferta&amp;utm_content=CTA5___&amp;utm_term=##IDPlay##_</v>
      </c>
      <c r="C56" s="10" t="s">
        <v>160</v>
      </c>
      <c r="D56" s="10" t="s">
        <v>94</v>
      </c>
      <c r="E56" s="10" t="s">
        <v>455</v>
      </c>
      <c r="F56" s="10" t="s">
        <v>44</v>
      </c>
      <c r="G56" s="10" t="s">
        <v>45</v>
      </c>
      <c r="H56" s="10" t="s">
        <v>95</v>
      </c>
      <c r="I56" s="10" t="s">
        <v>189</v>
      </c>
      <c r="J56" s="10" t="s">
        <v>168</v>
      </c>
      <c r="K56" s="10" t="s">
        <v>117</v>
      </c>
      <c r="L56" s="10" t="s">
        <v>35</v>
      </c>
      <c r="M56" s="10" t="s">
        <v>36</v>
      </c>
      <c r="N56" s="10" t="s">
        <v>37</v>
      </c>
      <c r="O56" s="10" t="s">
        <v>38</v>
      </c>
      <c r="P56" s="10" t="s">
        <v>39</v>
      </c>
      <c r="Q56" s="10" t="s">
        <v>40</v>
      </c>
      <c r="R56" s="10" t="s">
        <v>41</v>
      </c>
      <c r="U56" s="10" t="s">
        <v>399</v>
      </c>
      <c r="Y56" s="10" t="s">
        <v>382</v>
      </c>
      <c r="AA56" s="74" t="str">
        <f t="shared" si="3"/>
        <v>?</v>
      </c>
    </row>
    <row r="57" ht="14.25" customHeight="1">
      <c r="A57" s="10" t="str">
        <f t="shared" si="4"/>
        <v>www.vivoplataformadigital.com.br?utm_source=mktcloud&amp;utm_medium=emailmkt&amp;utm_campaign=##ApproachStart##-Tutorial-acesso-plataforma-digital _vivo_b2b_institucional_institucional_none_comunicado&amp;utm_content=___&amp;utm_term=##IDPlay##_</v>
      </c>
      <c r="B57" s="89" t="s">
        <v>456</v>
      </c>
      <c r="C57" s="10" t="s">
        <v>160</v>
      </c>
      <c r="D57" s="10" t="s">
        <v>94</v>
      </c>
      <c r="E57" s="10" t="s">
        <v>457</v>
      </c>
      <c r="F57" s="10" t="s">
        <v>44</v>
      </c>
      <c r="G57" s="10" t="s">
        <v>64</v>
      </c>
      <c r="H57" s="10" t="s">
        <v>115</v>
      </c>
      <c r="I57" s="10" t="s">
        <v>115</v>
      </c>
      <c r="J57" s="10" t="s">
        <v>168</v>
      </c>
      <c r="K57" s="10" t="s">
        <v>68</v>
      </c>
      <c r="L57" s="10" t="s">
        <v>35</v>
      </c>
      <c r="M57" s="10" t="s">
        <v>36</v>
      </c>
      <c r="N57" s="10" t="s">
        <v>37</v>
      </c>
      <c r="O57" s="10" t="s">
        <v>38</v>
      </c>
      <c r="P57" s="10" t="s">
        <v>39</v>
      </c>
      <c r="Q57" s="10" t="s">
        <v>40</v>
      </c>
      <c r="R57" s="10" t="s">
        <v>41</v>
      </c>
      <c r="Y57" s="10" t="s">
        <v>382</v>
      </c>
      <c r="AA57" s="74" t="str">
        <f t="shared" si="3"/>
        <v>?</v>
      </c>
    </row>
    <row r="58" ht="14.25" customHeight="1">
      <c r="A58" s="72" t="str">
        <f t="shared" si="4"/>
        <v>https://app.mindminers.com/r/PTRUCLM?utm_source=mktcloud&amp;utm_medium=emailmkt&amp;utm_campaign=##ApproachStart##-Pesquisa-Smart-WiFi-Detratores_vivo_b2c_fixa_terminais_none_pesquisa&amp;utm_content=___&amp;utm_term=##IDPlay##_</v>
      </c>
      <c r="B58" s="83" t="s">
        <v>458</v>
      </c>
      <c r="C58" s="10" t="s">
        <v>160</v>
      </c>
      <c r="D58" s="10" t="s">
        <v>94</v>
      </c>
      <c r="E58" s="10" t="s">
        <v>459</v>
      </c>
      <c r="F58" s="10" t="s">
        <v>44</v>
      </c>
      <c r="G58" s="10" t="s">
        <v>45</v>
      </c>
      <c r="H58" s="10" t="s">
        <v>108</v>
      </c>
      <c r="I58" s="10" t="s">
        <v>189</v>
      </c>
      <c r="J58" s="10" t="s">
        <v>168</v>
      </c>
      <c r="K58" s="10" t="s">
        <v>127</v>
      </c>
      <c r="L58" s="10" t="s">
        <v>35</v>
      </c>
      <c r="M58" s="10" t="s">
        <v>36</v>
      </c>
      <c r="N58" s="10" t="s">
        <v>37</v>
      </c>
      <c r="O58" s="10" t="s">
        <v>38</v>
      </c>
      <c r="P58" s="10" t="s">
        <v>39</v>
      </c>
      <c r="Q58" s="10" t="s">
        <v>40</v>
      </c>
      <c r="R58" s="10" t="s">
        <v>41</v>
      </c>
      <c r="Y58" s="10" t="s">
        <v>382</v>
      </c>
      <c r="AA58" s="74" t="str">
        <f t="shared" si="3"/>
        <v>?</v>
      </c>
    </row>
    <row r="59" ht="14.25" customHeight="1">
      <c r="A59" s="10" t="str">
        <f t="shared" si="4"/>
        <v>?utm_source=mktcloud&amp;utm_medium=emailmkt&amp;utm_campaign=##ApproachStart##-Pesquisa-Smart-WiFi-Neutros-Satisfeitos_vivo_b2c_fixa_terminais_none_pesquisa&amp;utm_content=___&amp;utm_term=##IDPlay##_</v>
      </c>
      <c r="C59" s="10" t="s">
        <v>160</v>
      </c>
      <c r="D59" s="10" t="s">
        <v>94</v>
      </c>
      <c r="E59" s="10" t="s">
        <v>460</v>
      </c>
      <c r="F59" s="10" t="s">
        <v>44</v>
      </c>
      <c r="G59" s="10" t="s">
        <v>45</v>
      </c>
      <c r="H59" s="10" t="s">
        <v>108</v>
      </c>
      <c r="I59" s="10" t="s">
        <v>189</v>
      </c>
      <c r="J59" s="10" t="s">
        <v>168</v>
      </c>
      <c r="K59" s="10" t="s">
        <v>127</v>
      </c>
      <c r="L59" s="10" t="s">
        <v>35</v>
      </c>
      <c r="M59" s="10" t="s">
        <v>36</v>
      </c>
      <c r="N59" s="10" t="s">
        <v>37</v>
      </c>
      <c r="O59" s="10" t="s">
        <v>38</v>
      </c>
      <c r="P59" s="10" t="s">
        <v>39</v>
      </c>
      <c r="Q59" s="10" t="s">
        <v>40</v>
      </c>
      <c r="R59" s="10" t="s">
        <v>41</v>
      </c>
      <c r="Y59" s="10" t="s">
        <v>382</v>
      </c>
      <c r="AA59" s="74" t="str">
        <f t="shared" si="3"/>
        <v>?</v>
      </c>
    </row>
    <row r="60" ht="14.25" customHeight="1">
      <c r="A60" s="72" t="str">
        <f t="shared" si="4"/>
        <v>https://vivo.tl/acessemvfixo?utm_source=mktcloud&amp;utm_medium=emailmkt&amp;utm_campaign=##ApproachStart##-Comunicado-instalacao-BD-OS_vivo_b2c_fixa_internet-fixa_vivo-internet_relacionamento&amp;utm_content=___&amp;utm_term=##IDPlay##_</v>
      </c>
      <c r="B60" s="90" t="s">
        <v>461</v>
      </c>
      <c r="C60" s="10" t="s">
        <v>160</v>
      </c>
      <c r="D60" s="10" t="s">
        <v>94</v>
      </c>
      <c r="E60" s="10" t="s">
        <v>462</v>
      </c>
      <c r="F60" s="10" t="s">
        <v>44</v>
      </c>
      <c r="G60" s="10" t="s">
        <v>45</v>
      </c>
      <c r="H60" s="10" t="s">
        <v>108</v>
      </c>
      <c r="I60" s="10" t="s">
        <v>229</v>
      </c>
      <c r="J60" s="10" t="s">
        <v>270</v>
      </c>
      <c r="K60" s="10" t="s">
        <v>144</v>
      </c>
      <c r="L60" s="10" t="s">
        <v>35</v>
      </c>
      <c r="M60" s="10" t="s">
        <v>36</v>
      </c>
      <c r="N60" s="10" t="s">
        <v>37</v>
      </c>
      <c r="O60" s="10" t="s">
        <v>38</v>
      </c>
      <c r="P60" s="10" t="s">
        <v>39</v>
      </c>
      <c r="Q60" s="10" t="s">
        <v>40</v>
      </c>
      <c r="R60" s="10" t="s">
        <v>41</v>
      </c>
      <c r="Y60" s="10" t="s">
        <v>382</v>
      </c>
      <c r="AA60" s="74" t="str">
        <f t="shared" si="3"/>
        <v>?</v>
      </c>
    </row>
    <row r="61" ht="14.25" customHeight="1">
      <c r="A61" s="10" t="str">
        <f t="shared" si="4"/>
        <v>?utm_source=mktcloud&amp;utm_medium=emailmkt&amp;utm_campaign=##ApproachStart##-Comunicado-apos-unificacao_vivo_b2c_movel_plano-movel_duo_comunicado&amp;utm_content=___&amp;utm_term=##IDPlay##_</v>
      </c>
      <c r="C61" s="10" t="s">
        <v>160</v>
      </c>
      <c r="D61" s="10" t="s">
        <v>94</v>
      </c>
      <c r="E61" s="10" t="s">
        <v>463</v>
      </c>
      <c r="F61" s="10" t="s">
        <v>44</v>
      </c>
      <c r="G61" s="10" t="s">
        <v>45</v>
      </c>
      <c r="H61" s="10" t="s">
        <v>124</v>
      </c>
      <c r="I61" s="10" t="s">
        <v>212</v>
      </c>
      <c r="J61" s="10" t="s">
        <v>143</v>
      </c>
      <c r="K61" s="10" t="s">
        <v>68</v>
      </c>
      <c r="L61" s="10" t="s">
        <v>35</v>
      </c>
      <c r="M61" s="10" t="s">
        <v>36</v>
      </c>
      <c r="N61" s="10" t="s">
        <v>37</v>
      </c>
      <c r="O61" s="10" t="s">
        <v>38</v>
      </c>
      <c r="P61" s="10" t="s">
        <v>39</v>
      </c>
      <c r="Q61" s="10" t="s">
        <v>40</v>
      </c>
      <c r="R61" s="10" t="s">
        <v>41</v>
      </c>
      <c r="Y61" s="10" t="s">
        <v>382</v>
      </c>
      <c r="AA61" s="74" t="str">
        <f t="shared" si="3"/>
        <v>?</v>
      </c>
    </row>
    <row r="62" ht="14.25" customHeight="1">
      <c r="A62" s="72" t="str">
        <f t="shared" si="4"/>
        <v>http://lojaonline.vivo.com.br/vivostorefront/campaign?identifier=nokia54&amp;utm_source=mktcloud&amp;utm_medium=emailmkt&amp;utm_campaign=##ApproachStart##-SmartOfertas-3108-0809_vivo_b2c_ecommerce_terminais_smart-ofertas_oferta&amp;utm_content=CTA1___&amp;utm_term=##IDPlay##_</v>
      </c>
      <c r="B62" s="86" t="s">
        <v>464</v>
      </c>
      <c r="C62" s="10" t="s">
        <v>160</v>
      </c>
      <c r="D62" s="10" t="s">
        <v>94</v>
      </c>
      <c r="E62" s="10" t="s">
        <v>465</v>
      </c>
      <c r="F62" s="10" t="s">
        <v>44</v>
      </c>
      <c r="G62" s="10" t="s">
        <v>45</v>
      </c>
      <c r="H62" s="10" t="s">
        <v>95</v>
      </c>
      <c r="I62" s="10" t="s">
        <v>189</v>
      </c>
      <c r="J62" s="10" t="s">
        <v>243</v>
      </c>
      <c r="K62" s="10" t="s">
        <v>117</v>
      </c>
      <c r="L62" s="10" t="s">
        <v>35</v>
      </c>
      <c r="M62" s="10" t="s">
        <v>36</v>
      </c>
      <c r="N62" s="10" t="s">
        <v>37</v>
      </c>
      <c r="O62" s="10" t="s">
        <v>38</v>
      </c>
      <c r="P62" s="10" t="s">
        <v>39</v>
      </c>
      <c r="Q62" s="10" t="s">
        <v>40</v>
      </c>
      <c r="R62" s="10" t="s">
        <v>41</v>
      </c>
      <c r="U62" s="10" t="s">
        <v>387</v>
      </c>
      <c r="Y62" s="10" t="s">
        <v>382</v>
      </c>
      <c r="AA62" s="74" t="str">
        <f t="shared" si="3"/>
        <v>&amp;</v>
      </c>
    </row>
    <row r="63" ht="14.25" customHeight="1">
      <c r="A63" s="72" t="str">
        <f t="shared" si="4"/>
        <v>http://lojaonline.vivo.com.br/vivostorefront/campaign?identifier=Moto_G30_Netflix&amp;utm_source=mktcloud&amp;utm_medium=emailmkt&amp;utm_campaign=##ApproachStart##-SmartOfertas-3108-0809_vivo_b2c_ecommerce_terminais_smart-ofertas_oferta&amp;utm_content=CTA2___&amp;utm_term=##IDPlay##_</v>
      </c>
      <c r="B63" s="86" t="s">
        <v>466</v>
      </c>
      <c r="C63" s="10" t="s">
        <v>160</v>
      </c>
      <c r="D63" s="10" t="s">
        <v>94</v>
      </c>
      <c r="E63" s="10" t="s">
        <v>465</v>
      </c>
      <c r="F63" s="10" t="s">
        <v>44</v>
      </c>
      <c r="G63" s="10" t="s">
        <v>45</v>
      </c>
      <c r="H63" s="10" t="s">
        <v>95</v>
      </c>
      <c r="I63" s="10" t="s">
        <v>189</v>
      </c>
      <c r="J63" s="10" t="s">
        <v>243</v>
      </c>
      <c r="K63" s="10" t="s">
        <v>117</v>
      </c>
      <c r="L63" s="10" t="s">
        <v>35</v>
      </c>
      <c r="M63" s="10" t="s">
        <v>36</v>
      </c>
      <c r="N63" s="10" t="s">
        <v>37</v>
      </c>
      <c r="O63" s="10" t="s">
        <v>38</v>
      </c>
      <c r="P63" s="10" t="s">
        <v>39</v>
      </c>
      <c r="Q63" s="10" t="s">
        <v>40</v>
      </c>
      <c r="R63" s="10" t="s">
        <v>41</v>
      </c>
      <c r="U63" s="10" t="s">
        <v>393</v>
      </c>
      <c r="Y63" s="10" t="s">
        <v>382</v>
      </c>
      <c r="AA63" s="74" t="str">
        <f t="shared" si="3"/>
        <v>&amp;</v>
      </c>
    </row>
    <row r="64" ht="14.25" customHeight="1">
      <c r="A64" s="72" t="str">
        <f t="shared" si="4"/>
        <v>https://lojaonline.vivo.com.br/vivostorefront/p/22019621?utm_source=mktcloud&amp;utm_medium=emailmkt&amp;utm_campaign=##ApproachStart##-SmartOfertas-3108-0809_vivo_b2c_ecommerce_terminais_smart-ofertas_oferta&amp;utm_content=CTA3___&amp;utm_term=##IDPlay##_</v>
      </c>
      <c r="B64" s="78" t="s">
        <v>467</v>
      </c>
      <c r="C64" s="10" t="s">
        <v>160</v>
      </c>
      <c r="D64" s="10" t="s">
        <v>94</v>
      </c>
      <c r="E64" s="10" t="s">
        <v>465</v>
      </c>
      <c r="F64" s="10" t="s">
        <v>44</v>
      </c>
      <c r="G64" s="10" t="s">
        <v>45</v>
      </c>
      <c r="H64" s="10" t="s">
        <v>95</v>
      </c>
      <c r="I64" s="10" t="s">
        <v>189</v>
      </c>
      <c r="J64" s="10" t="s">
        <v>243</v>
      </c>
      <c r="K64" s="10" t="s">
        <v>117</v>
      </c>
      <c r="L64" s="10" t="s">
        <v>35</v>
      </c>
      <c r="M64" s="10" t="s">
        <v>36</v>
      </c>
      <c r="N64" s="10" t="s">
        <v>37</v>
      </c>
      <c r="O64" s="10" t="s">
        <v>38</v>
      </c>
      <c r="P64" s="10" t="s">
        <v>39</v>
      </c>
      <c r="Q64" s="10" t="s">
        <v>40</v>
      </c>
      <c r="R64" s="10" t="s">
        <v>41</v>
      </c>
      <c r="U64" s="10" t="s">
        <v>395</v>
      </c>
      <c r="Y64" s="10" t="s">
        <v>382</v>
      </c>
      <c r="AA64" s="74" t="str">
        <f t="shared" si="3"/>
        <v>?</v>
      </c>
    </row>
    <row r="65" ht="14.25" customHeight="1">
      <c r="A65" s="72" t="str">
        <f t="shared" si="4"/>
        <v>https://lojaonline.vivo.com.br/vivostorefront/p/TGSA38364000?utm_source=mktcloud&amp;utm_medium=emailmkt&amp;utm_campaign=##ApproachStart##-SmartOfertas-3108-0809_vivo_b2c_ecommerce_terminais_smart-ofertas_oferta&amp;utm_content=CTA4___&amp;utm_term=##IDPlay##_</v>
      </c>
      <c r="B65" s="78" t="s">
        <v>468</v>
      </c>
      <c r="C65" s="10" t="s">
        <v>160</v>
      </c>
      <c r="D65" s="10" t="s">
        <v>94</v>
      </c>
      <c r="E65" s="10" t="s">
        <v>465</v>
      </c>
      <c r="F65" s="10" t="s">
        <v>44</v>
      </c>
      <c r="G65" s="10" t="s">
        <v>45</v>
      </c>
      <c r="H65" s="10" t="s">
        <v>95</v>
      </c>
      <c r="I65" s="10" t="s">
        <v>189</v>
      </c>
      <c r="J65" s="10" t="s">
        <v>243</v>
      </c>
      <c r="K65" s="10" t="s">
        <v>117</v>
      </c>
      <c r="L65" s="10" t="s">
        <v>35</v>
      </c>
      <c r="M65" s="10" t="s">
        <v>36</v>
      </c>
      <c r="N65" s="10" t="s">
        <v>37</v>
      </c>
      <c r="O65" s="10" t="s">
        <v>38</v>
      </c>
      <c r="P65" s="10" t="s">
        <v>39</v>
      </c>
      <c r="Q65" s="10" t="s">
        <v>40</v>
      </c>
      <c r="R65" s="10" t="s">
        <v>41</v>
      </c>
      <c r="U65" s="10" t="s">
        <v>397</v>
      </c>
      <c r="Y65" s="10" t="s">
        <v>382</v>
      </c>
      <c r="AA65" s="74" t="str">
        <f t="shared" si="3"/>
        <v>?</v>
      </c>
    </row>
    <row r="66" ht="14.25" customHeight="1">
      <c r="A66" s="72" t="str">
        <f t="shared" si="4"/>
        <v>https://lojaonline.vivo.com.br/vivostorefront/p/BGSA38554007?utm_source=mktcloud&amp;utm_medium=emailmkt&amp;utm_campaign=##ApproachStart##-SmartOfertas-3108-0809_vivo_b2c_ecommerce_terminais_smart-ofertas_oferta&amp;utm_content=CTA5___&amp;utm_term=##IDPlay##_</v>
      </c>
      <c r="B66" s="78" t="s">
        <v>469</v>
      </c>
      <c r="C66" s="10" t="s">
        <v>160</v>
      </c>
      <c r="D66" s="10" t="s">
        <v>94</v>
      </c>
      <c r="E66" s="10" t="s">
        <v>465</v>
      </c>
      <c r="F66" s="10" t="s">
        <v>44</v>
      </c>
      <c r="G66" s="10" t="s">
        <v>45</v>
      </c>
      <c r="H66" s="10" t="s">
        <v>95</v>
      </c>
      <c r="I66" s="10" t="s">
        <v>189</v>
      </c>
      <c r="J66" s="10" t="s">
        <v>243</v>
      </c>
      <c r="K66" s="10" t="s">
        <v>117</v>
      </c>
      <c r="L66" s="10" t="s">
        <v>35</v>
      </c>
      <c r="M66" s="10" t="s">
        <v>36</v>
      </c>
      <c r="N66" s="10" t="s">
        <v>37</v>
      </c>
      <c r="O66" s="10" t="s">
        <v>38</v>
      </c>
      <c r="P66" s="10" t="s">
        <v>39</v>
      </c>
      <c r="Q66" s="10" t="s">
        <v>40</v>
      </c>
      <c r="R66" s="10" t="s">
        <v>41</v>
      </c>
      <c r="U66" s="10" t="s">
        <v>399</v>
      </c>
      <c r="Y66" s="10" t="s">
        <v>382</v>
      </c>
      <c r="AA66" s="74" t="str">
        <f t="shared" si="3"/>
        <v>?</v>
      </c>
    </row>
    <row r="67" ht="14.25" customHeight="1">
      <c r="A67" s="72" t="str">
        <f t="shared" si="4"/>
        <v>https://lojaonline.vivo.com.br/vivostorefront/Vivo/Acess%C3%B3rios/Games/c/vivogames?utm_source=mktcloud&amp;utm_medium=emailmkt&amp;utm_campaign=##ApproachStart##-SmartOfertas-3108-0809_vivo_b2c_ecommerce_terminais_smart-ofertas_oferta&amp;utm_content=CTA6___&amp;utm_term=##IDPlay##_</v>
      </c>
      <c r="B67" s="78" t="s">
        <v>470</v>
      </c>
      <c r="C67" s="10" t="s">
        <v>160</v>
      </c>
      <c r="D67" s="10" t="s">
        <v>94</v>
      </c>
      <c r="E67" s="10" t="s">
        <v>465</v>
      </c>
      <c r="F67" s="10" t="s">
        <v>44</v>
      </c>
      <c r="G67" s="10" t="s">
        <v>45</v>
      </c>
      <c r="H67" s="10" t="s">
        <v>95</v>
      </c>
      <c r="I67" s="10" t="s">
        <v>189</v>
      </c>
      <c r="J67" s="10" t="s">
        <v>243</v>
      </c>
      <c r="K67" s="10" t="s">
        <v>117</v>
      </c>
      <c r="L67" s="10" t="s">
        <v>35</v>
      </c>
      <c r="M67" s="10" t="s">
        <v>36</v>
      </c>
      <c r="N67" s="10" t="s">
        <v>37</v>
      </c>
      <c r="O67" s="10" t="s">
        <v>38</v>
      </c>
      <c r="P67" s="10" t="s">
        <v>39</v>
      </c>
      <c r="Q67" s="10" t="s">
        <v>40</v>
      </c>
      <c r="R67" s="10" t="s">
        <v>41</v>
      </c>
      <c r="U67" s="10" t="s">
        <v>401</v>
      </c>
      <c r="Y67" s="10" t="s">
        <v>382</v>
      </c>
      <c r="AA67" s="74" t="str">
        <f t="shared" si="3"/>
        <v>?</v>
      </c>
    </row>
    <row r="68" ht="14.25" customHeight="1">
      <c r="A68" s="72" t="str">
        <f t="shared" si="4"/>
        <v>vivo.com.br/vivoemcasa?utm_source=mktcloud&amp;utm_medium=emailmkt&amp;utm_campaign=##ApproachStart##-SmartOfertas-3108-0809_vivo_b2c_ecommerce_terminais_smart-ofertas_oferta&amp;utm_content=CTA7___&amp;utm_term=##IDPlay##_</v>
      </c>
      <c r="B68" s="78" t="s">
        <v>471</v>
      </c>
      <c r="C68" s="10" t="s">
        <v>160</v>
      </c>
      <c r="D68" s="10" t="s">
        <v>94</v>
      </c>
      <c r="E68" s="10" t="s">
        <v>465</v>
      </c>
      <c r="F68" s="10" t="s">
        <v>44</v>
      </c>
      <c r="G68" s="10" t="s">
        <v>45</v>
      </c>
      <c r="H68" s="10" t="s">
        <v>95</v>
      </c>
      <c r="I68" s="10" t="s">
        <v>189</v>
      </c>
      <c r="J68" s="10" t="s">
        <v>243</v>
      </c>
      <c r="K68" s="10" t="s">
        <v>117</v>
      </c>
      <c r="L68" s="10" t="s">
        <v>35</v>
      </c>
      <c r="M68" s="10" t="s">
        <v>36</v>
      </c>
      <c r="N68" s="10" t="s">
        <v>37</v>
      </c>
      <c r="O68" s="10" t="s">
        <v>38</v>
      </c>
      <c r="P68" s="10" t="s">
        <v>39</v>
      </c>
      <c r="Q68" s="10" t="s">
        <v>40</v>
      </c>
      <c r="R68" s="10" t="s">
        <v>41</v>
      </c>
      <c r="U68" s="10" t="s">
        <v>389</v>
      </c>
      <c r="Y68" s="10" t="s">
        <v>382</v>
      </c>
      <c r="AA68" s="74" t="str">
        <f t="shared" si="3"/>
        <v>?</v>
      </c>
    </row>
    <row r="69" ht="14.25" customHeight="1">
      <c r="A69" s="10" t="str">
        <f t="shared" si="4"/>
        <v>?utm_source=mktcloud&amp;utm_medium=emailmkt&amp;utm_campaign=##ApproachStart##-SmartOfertas-3108-0809_vivo_b2c_ecommerce_terminais_smart-ofertas_oferta&amp;utm_content=___&amp;utm_term=##IDPlay##_</v>
      </c>
      <c r="C69" s="10" t="s">
        <v>160</v>
      </c>
      <c r="D69" s="10" t="s">
        <v>94</v>
      </c>
      <c r="E69" s="10" t="s">
        <v>465</v>
      </c>
      <c r="F69" s="10" t="s">
        <v>44</v>
      </c>
      <c r="G69" s="10" t="s">
        <v>45</v>
      </c>
      <c r="H69" s="10" t="s">
        <v>95</v>
      </c>
      <c r="I69" s="10" t="s">
        <v>189</v>
      </c>
      <c r="J69" s="10" t="s">
        <v>243</v>
      </c>
      <c r="K69" s="10" t="s">
        <v>117</v>
      </c>
      <c r="L69" s="10" t="s">
        <v>35</v>
      </c>
      <c r="M69" s="10" t="s">
        <v>36</v>
      </c>
      <c r="N69" s="10" t="s">
        <v>37</v>
      </c>
      <c r="O69" s="10" t="s">
        <v>38</v>
      </c>
      <c r="P69" s="10" t="s">
        <v>39</v>
      </c>
      <c r="Q69" s="10" t="s">
        <v>40</v>
      </c>
      <c r="R69" s="10" t="s">
        <v>41</v>
      </c>
      <c r="Y69" s="10" t="s">
        <v>382</v>
      </c>
      <c r="AA69" s="74" t="str">
        <f t="shared" si="3"/>
        <v>?</v>
      </c>
    </row>
    <row r="70" ht="14.25" customHeight="1">
      <c r="A70" s="91" t="str">
        <f t="shared" si="4"/>
        <v>http://lojaonline.vivo.com.br/vivostorefront/campaign?identifier=lgk41s-controle&amp;utm_source=mktcloud&amp;utm_medium=emailmkt&amp;utm_campaign=##ApproachStart##-48horas-0909_vivo_b2c_ecommerce_terminais_none_oferta&amp;utm_content=CTA1___&amp;utm_term=##IDPlay##_</v>
      </c>
      <c r="B70" s="92" t="s">
        <v>472</v>
      </c>
      <c r="C70" s="10" t="s">
        <v>160</v>
      </c>
      <c r="D70" s="10" t="s">
        <v>94</v>
      </c>
      <c r="E70" s="10" t="s">
        <v>473</v>
      </c>
      <c r="F70" s="10" t="s">
        <v>44</v>
      </c>
      <c r="G70" s="10" t="s">
        <v>45</v>
      </c>
      <c r="H70" s="10" t="s">
        <v>95</v>
      </c>
      <c r="I70" s="10" t="s">
        <v>189</v>
      </c>
      <c r="J70" s="10" t="s">
        <v>168</v>
      </c>
      <c r="K70" s="10" t="s">
        <v>117</v>
      </c>
      <c r="L70" s="10" t="s">
        <v>35</v>
      </c>
      <c r="M70" s="10" t="s">
        <v>36</v>
      </c>
      <c r="N70" s="10" t="s">
        <v>37</v>
      </c>
      <c r="O70" s="10" t="s">
        <v>38</v>
      </c>
      <c r="P70" s="10" t="s">
        <v>39</v>
      </c>
      <c r="Q70" s="10" t="s">
        <v>40</v>
      </c>
      <c r="R70" s="10" t="s">
        <v>41</v>
      </c>
      <c r="U70" s="10" t="s">
        <v>387</v>
      </c>
      <c r="Y70" s="10" t="s">
        <v>382</v>
      </c>
      <c r="AA70" s="74" t="str">
        <f t="shared" si="3"/>
        <v>&amp;</v>
      </c>
    </row>
    <row r="71" ht="14.25" customHeight="1">
      <c r="A71" s="91" t="str">
        <f t="shared" si="4"/>
        <v>https://www.vivo.com.br/para-voce/ajuda/mais-ajuda/encontre-uma-loja?utm_source=mktcloud&amp;utm_medium=emailmkt&amp;utm_campaign=##ApproachStart##-48horas-0909_vivo_b2c_ecommerce_terminais_none_oferta&amp;utm_content=CTA3___&amp;utm_term=##IDPlay##_</v>
      </c>
      <c r="B71" s="92" t="s">
        <v>449</v>
      </c>
      <c r="C71" s="10" t="s">
        <v>160</v>
      </c>
      <c r="D71" s="10" t="s">
        <v>94</v>
      </c>
      <c r="E71" s="10" t="s">
        <v>473</v>
      </c>
      <c r="F71" s="10" t="s">
        <v>44</v>
      </c>
      <c r="G71" s="10" t="s">
        <v>45</v>
      </c>
      <c r="H71" s="10" t="s">
        <v>95</v>
      </c>
      <c r="I71" s="10" t="s">
        <v>189</v>
      </c>
      <c r="J71" s="10" t="s">
        <v>168</v>
      </c>
      <c r="K71" s="10" t="s">
        <v>117</v>
      </c>
      <c r="L71" s="10" t="s">
        <v>35</v>
      </c>
      <c r="M71" s="10" t="s">
        <v>36</v>
      </c>
      <c r="N71" s="10" t="s">
        <v>37</v>
      </c>
      <c r="O71" s="10" t="s">
        <v>38</v>
      </c>
      <c r="P71" s="10" t="s">
        <v>39</v>
      </c>
      <c r="Q71" s="10" t="s">
        <v>40</v>
      </c>
      <c r="R71" s="10" t="s">
        <v>41</v>
      </c>
      <c r="U71" s="93" t="s">
        <v>395</v>
      </c>
      <c r="Y71" s="10" t="s">
        <v>382</v>
      </c>
      <c r="AA71" s="74" t="str">
        <f t="shared" si="3"/>
        <v>?</v>
      </c>
    </row>
    <row r="72" ht="14.25" customHeight="1">
      <c r="A72" s="10" t="str">
        <f t="shared" si="4"/>
        <v>?utm_source=mktcloud&amp;utm_medium=emailmkt&amp;utm_campaign=##ApproachStart##-Vivo-cultura-teatro-em-casa-setembro_vivo_b2c_institucional_institucional_duo_relacionamento&amp;utm_content=___&amp;utm_term=##IDPlay##_</v>
      </c>
      <c r="C72" s="10" t="s">
        <v>160</v>
      </c>
      <c r="D72" s="10" t="s">
        <v>94</v>
      </c>
      <c r="E72" s="10" t="s">
        <v>474</v>
      </c>
      <c r="F72" s="10" t="s">
        <v>44</v>
      </c>
      <c r="G72" s="10" t="s">
        <v>45</v>
      </c>
      <c r="H72" s="10" t="s">
        <v>115</v>
      </c>
      <c r="I72" s="10" t="s">
        <v>115</v>
      </c>
      <c r="J72" s="10" t="s">
        <v>143</v>
      </c>
      <c r="K72" s="10" t="s">
        <v>144</v>
      </c>
      <c r="L72" s="10" t="s">
        <v>35</v>
      </c>
      <c r="M72" s="10" t="s">
        <v>36</v>
      </c>
      <c r="N72" s="10" t="s">
        <v>37</v>
      </c>
      <c r="O72" s="10" t="s">
        <v>38</v>
      </c>
      <c r="P72" s="10" t="s">
        <v>39</v>
      </c>
      <c r="Q72" s="10" t="s">
        <v>40</v>
      </c>
      <c r="R72" s="10" t="s">
        <v>41</v>
      </c>
      <c r="Y72" s="10" t="s">
        <v>382</v>
      </c>
      <c r="AA72" s="74" t="str">
        <f t="shared" si="3"/>
        <v>?</v>
      </c>
    </row>
    <row r="73" ht="14.25" customHeight="1">
      <c r="A73" s="10" t="str">
        <f t="shared" si="4"/>
        <v>?utm_source=mktcloud&amp;utm_medium=emailmkt&amp;utm_campaign=##ApproachStart##-Tracking-Alta-Pos-Selfie_vivo_b2c_movel_pos-pago_movel_relacionamento&amp;utm_content=___&amp;utm_term=##IDPlay##_</v>
      </c>
      <c r="C73" s="10" t="s">
        <v>160</v>
      </c>
      <c r="D73" s="10" t="s">
        <v>94</v>
      </c>
      <c r="E73" s="10" t="s">
        <v>475</v>
      </c>
      <c r="F73" s="10" t="s">
        <v>44</v>
      </c>
      <c r="G73" s="10" t="s">
        <v>45</v>
      </c>
      <c r="H73" s="10" t="s">
        <v>124</v>
      </c>
      <c r="I73" s="10" t="s">
        <v>172</v>
      </c>
      <c r="J73" s="10" t="s">
        <v>124</v>
      </c>
      <c r="K73" s="10" t="s">
        <v>144</v>
      </c>
      <c r="L73" s="10" t="s">
        <v>35</v>
      </c>
      <c r="M73" s="10" t="s">
        <v>36</v>
      </c>
      <c r="N73" s="10" t="s">
        <v>37</v>
      </c>
      <c r="O73" s="10" t="s">
        <v>38</v>
      </c>
      <c r="P73" s="10" t="s">
        <v>39</v>
      </c>
      <c r="Q73" s="10" t="s">
        <v>40</v>
      </c>
      <c r="R73" s="10" t="s">
        <v>41</v>
      </c>
      <c r="Y73" s="10" t="s">
        <v>382</v>
      </c>
      <c r="AA73" s="74" t="str">
        <f t="shared" si="3"/>
        <v>?</v>
      </c>
    </row>
    <row r="74" ht="14.25" customHeight="1">
      <c r="A74" s="91" t="str">
        <f>B74&amp;AA74&amp;"utm_source="&amp;C74&amp;"&amp;"&amp;"utm_medium="&amp;D74&amp;"&amp;"&amp;"utm_campaign="&amp;E74&amp;"_"&amp;F74&amp;"_"&amp;G74&amp;"_"&amp;H74&amp;"_"&amp;I74&amp;"_"&amp;J74&amp;"_"&amp;K74&amp;"&amp;"&amp;"utm_content="&amp;U75&amp;"_"&amp;V74&amp;"_"&amp;W74&amp;"_"&amp;X74&amp;"&amp;"&amp;"utm_term="&amp;Y74&amp;"_"&amp;Z74</f>
        <v>https://www.vivo.com.br/para-voce/ajuda/mais-ajuda/encontre-uma-loja?utm_source=mktcloud&amp;utm_medium=emailmkt&amp;utm_campaign=##ApproachStart##-Ofertas-semana-cliente-pos_vivo_b2c_ecommerce_terminais_smart-ofertas_oferta&amp;utm_content=CTA1___&amp;utm_term=##IDPlay##_</v>
      </c>
      <c r="B74" s="94" t="s">
        <v>449</v>
      </c>
      <c r="C74" s="10" t="s">
        <v>160</v>
      </c>
      <c r="D74" s="10" t="s">
        <v>94</v>
      </c>
      <c r="E74" s="93" t="s">
        <v>476</v>
      </c>
      <c r="F74" s="93" t="s">
        <v>44</v>
      </c>
      <c r="G74" s="93" t="s">
        <v>45</v>
      </c>
      <c r="H74" s="93" t="s">
        <v>95</v>
      </c>
      <c r="I74" s="93" t="s">
        <v>189</v>
      </c>
      <c r="J74" s="93" t="s">
        <v>243</v>
      </c>
      <c r="K74" s="93" t="s">
        <v>117</v>
      </c>
      <c r="L74" s="10" t="s">
        <v>35</v>
      </c>
      <c r="M74" s="10" t="s">
        <v>36</v>
      </c>
      <c r="N74" s="10" t="s">
        <v>37</v>
      </c>
      <c r="O74" s="10" t="s">
        <v>38</v>
      </c>
      <c r="P74" s="10" t="s">
        <v>39</v>
      </c>
      <c r="Q74" s="10" t="s">
        <v>40</v>
      </c>
      <c r="R74" s="10" t="s">
        <v>41</v>
      </c>
      <c r="Y74" s="10" t="s">
        <v>382</v>
      </c>
      <c r="AA74" s="74" t="str">
        <f t="shared" si="3"/>
        <v>?</v>
      </c>
    </row>
    <row r="75" ht="14.25" customHeight="1">
      <c r="A75" s="10" t="str">
        <f>B75&amp;AA75&amp;"utm_source="&amp;C75&amp;"&amp;"&amp;"utm_medium="&amp;D75&amp;"&amp;"&amp;"utm_campaign="&amp;E75&amp;"_"&amp;F75&amp;"_"&amp;G75&amp;"_"&amp;H75&amp;"_"&amp;I75&amp;"_"&amp;J75&amp;"_"&amp;K75&amp;"&amp;"&amp;"utm_content="&amp;#REF!&amp;"_"&amp;V75&amp;"_"&amp;W75&amp;"_"&amp;X75&amp;"&amp;"&amp;"utm_term="&amp;Y75&amp;"_"&amp;Z75</f>
        <v>#REF!</v>
      </c>
      <c r="C75" s="10" t="s">
        <v>160</v>
      </c>
      <c r="D75" s="10" t="s">
        <v>94</v>
      </c>
      <c r="E75" s="93" t="s">
        <v>476</v>
      </c>
      <c r="F75" s="93" t="s">
        <v>44</v>
      </c>
      <c r="G75" s="93" t="s">
        <v>45</v>
      </c>
      <c r="H75" s="93" t="s">
        <v>95</v>
      </c>
      <c r="I75" s="93" t="s">
        <v>189</v>
      </c>
      <c r="J75" s="93" t="s">
        <v>243</v>
      </c>
      <c r="K75" s="93" t="s">
        <v>117</v>
      </c>
      <c r="L75" s="10" t="s">
        <v>35</v>
      </c>
      <c r="M75" s="10" t="s">
        <v>36</v>
      </c>
      <c r="N75" s="10" t="s">
        <v>37</v>
      </c>
      <c r="O75" s="10" t="s">
        <v>38</v>
      </c>
      <c r="P75" s="10" t="s">
        <v>39</v>
      </c>
      <c r="Q75" s="10" t="s">
        <v>40</v>
      </c>
      <c r="R75" s="10" t="s">
        <v>41</v>
      </c>
      <c r="U75" s="93" t="s">
        <v>387</v>
      </c>
      <c r="Y75" s="10" t="s">
        <v>382</v>
      </c>
      <c r="AA75" s="74" t="str">
        <f t="shared" si="3"/>
        <v>?</v>
      </c>
    </row>
    <row r="76" ht="14.25" customHeight="1">
      <c r="A76" s="10" t="str">
        <f t="shared" ref="A76:A110" si="5">B76&amp;AA76&amp;"utm_source="&amp;C76&amp;"&amp;"&amp;"utm_medium="&amp;D76&amp;"&amp;"&amp;"utm_campaign="&amp;E76&amp;"_"&amp;F76&amp;"_"&amp;G76&amp;"_"&amp;H76&amp;"_"&amp;I76&amp;"_"&amp;J76&amp;"_"&amp;K76&amp;"&amp;"&amp;"utm_content="&amp;U76&amp;"_"&amp;V76&amp;"_"&amp;W76&amp;"_"&amp;X76&amp;"&amp;"&amp;"utm_term="&amp;Y76&amp;"_"&amp;Z76</f>
        <v>?utm_source=mktcloud&amp;utm_medium=emailmkt&amp;utm_campaign=##ApproachStart##-Ofertas-semana-cliente-pos_vivo_b2c_ecommerce_terminais_smart-ofertas_oferta&amp;utm_content=CTA2___&amp;utm_term=##IDPlay##_</v>
      </c>
      <c r="C76" s="10" t="s">
        <v>160</v>
      </c>
      <c r="D76" s="10" t="s">
        <v>94</v>
      </c>
      <c r="E76" s="93" t="s">
        <v>476</v>
      </c>
      <c r="F76" s="93" t="s">
        <v>44</v>
      </c>
      <c r="G76" s="93" t="s">
        <v>45</v>
      </c>
      <c r="H76" s="93" t="s">
        <v>95</v>
      </c>
      <c r="I76" s="93" t="s">
        <v>189</v>
      </c>
      <c r="J76" s="93" t="s">
        <v>243</v>
      </c>
      <c r="K76" s="93" t="s">
        <v>117</v>
      </c>
      <c r="L76" s="10" t="s">
        <v>35</v>
      </c>
      <c r="M76" s="10" t="s">
        <v>36</v>
      </c>
      <c r="N76" s="10" t="s">
        <v>37</v>
      </c>
      <c r="O76" s="10" t="s">
        <v>38</v>
      </c>
      <c r="P76" s="10" t="s">
        <v>39</v>
      </c>
      <c r="Q76" s="10" t="s">
        <v>40</v>
      </c>
      <c r="R76" s="10" t="s">
        <v>41</v>
      </c>
      <c r="U76" s="93" t="s">
        <v>393</v>
      </c>
      <c r="Y76" s="10" t="s">
        <v>382</v>
      </c>
      <c r="AA76" s="74" t="str">
        <f t="shared" si="3"/>
        <v>?</v>
      </c>
    </row>
    <row r="77" ht="14.25" customHeight="1">
      <c r="A77" s="10" t="str">
        <f t="shared" si="5"/>
        <v>?utm_source=mktcloud&amp;utm_medium=emailmkt&amp;utm_campaign=##ApproachStart##-Ofertas-semana-cliente-pos_vivo_b2c_ecommerce_terminais_smart-ofertas_oferta&amp;utm_content=CTA3___&amp;utm_term=##IDPlay##_</v>
      </c>
      <c r="C77" s="10" t="s">
        <v>160</v>
      </c>
      <c r="D77" s="10" t="s">
        <v>94</v>
      </c>
      <c r="E77" s="93" t="s">
        <v>476</v>
      </c>
      <c r="F77" s="93" t="s">
        <v>44</v>
      </c>
      <c r="G77" s="93" t="s">
        <v>45</v>
      </c>
      <c r="H77" s="93" t="s">
        <v>95</v>
      </c>
      <c r="I77" s="93" t="s">
        <v>189</v>
      </c>
      <c r="J77" s="93" t="s">
        <v>243</v>
      </c>
      <c r="K77" s="93" t="s">
        <v>117</v>
      </c>
      <c r="L77" s="10" t="s">
        <v>35</v>
      </c>
      <c r="M77" s="10" t="s">
        <v>36</v>
      </c>
      <c r="N77" s="10" t="s">
        <v>37</v>
      </c>
      <c r="O77" s="10" t="s">
        <v>38</v>
      </c>
      <c r="P77" s="10" t="s">
        <v>39</v>
      </c>
      <c r="Q77" s="10" t="s">
        <v>40</v>
      </c>
      <c r="R77" s="10" t="s">
        <v>41</v>
      </c>
      <c r="U77" s="93" t="s">
        <v>395</v>
      </c>
      <c r="Y77" s="10" t="s">
        <v>382</v>
      </c>
      <c r="AA77" s="74" t="str">
        <f t="shared" si="3"/>
        <v>?</v>
      </c>
    </row>
    <row r="78" ht="14.25" customHeight="1">
      <c r="A78" s="10" t="str">
        <f t="shared" si="5"/>
        <v>?utm_source=mktcloud&amp;utm_medium=emailmkt&amp;utm_campaign=##ApproachStart##-Ofertas-semana-cliente-pos_vivo_b2c_ecommerce_terminais_smart-ofertas_oferta&amp;utm_content=CTA4___&amp;utm_term=##IDPlay##_</v>
      </c>
      <c r="C78" s="10" t="s">
        <v>160</v>
      </c>
      <c r="D78" s="10" t="s">
        <v>94</v>
      </c>
      <c r="E78" s="93" t="s">
        <v>476</v>
      </c>
      <c r="F78" s="93" t="s">
        <v>44</v>
      </c>
      <c r="G78" s="93" t="s">
        <v>45</v>
      </c>
      <c r="H78" s="93" t="s">
        <v>95</v>
      </c>
      <c r="I78" s="93" t="s">
        <v>189</v>
      </c>
      <c r="J78" s="93" t="s">
        <v>243</v>
      </c>
      <c r="K78" s="93" t="s">
        <v>117</v>
      </c>
      <c r="L78" s="10" t="s">
        <v>35</v>
      </c>
      <c r="M78" s="10" t="s">
        <v>36</v>
      </c>
      <c r="N78" s="10" t="s">
        <v>37</v>
      </c>
      <c r="O78" s="10" t="s">
        <v>38</v>
      </c>
      <c r="P78" s="10" t="s">
        <v>39</v>
      </c>
      <c r="Q78" s="10" t="s">
        <v>40</v>
      </c>
      <c r="R78" s="10" t="s">
        <v>41</v>
      </c>
      <c r="U78" s="93" t="s">
        <v>397</v>
      </c>
      <c r="Y78" s="10" t="s">
        <v>382</v>
      </c>
      <c r="AA78" s="74" t="str">
        <f t="shared" si="3"/>
        <v>?</v>
      </c>
    </row>
    <row r="79" ht="14.25" customHeight="1">
      <c r="A79" s="10" t="str">
        <f t="shared" si="5"/>
        <v>?utm_source=mktcloud&amp;utm_medium=emailmkt&amp;utm_campaign=##ApproachStart##-Ofertas-semana-cliente-pos_vivo_b2c_ecommerce_terminais_smart-ofertas_oferta&amp;utm_content=CTA5___&amp;utm_term=##IDPlay##_</v>
      </c>
      <c r="C79" s="10" t="s">
        <v>160</v>
      </c>
      <c r="D79" s="10" t="s">
        <v>94</v>
      </c>
      <c r="E79" s="93" t="s">
        <v>476</v>
      </c>
      <c r="F79" s="93" t="s">
        <v>44</v>
      </c>
      <c r="G79" s="93" t="s">
        <v>45</v>
      </c>
      <c r="H79" s="93" t="s">
        <v>95</v>
      </c>
      <c r="I79" s="93" t="s">
        <v>189</v>
      </c>
      <c r="J79" s="93" t="s">
        <v>243</v>
      </c>
      <c r="K79" s="93" t="s">
        <v>117</v>
      </c>
      <c r="L79" s="10" t="s">
        <v>35</v>
      </c>
      <c r="M79" s="10" t="s">
        <v>36</v>
      </c>
      <c r="N79" s="10" t="s">
        <v>37</v>
      </c>
      <c r="O79" s="10" t="s">
        <v>38</v>
      </c>
      <c r="P79" s="10" t="s">
        <v>39</v>
      </c>
      <c r="Q79" s="10" t="s">
        <v>40</v>
      </c>
      <c r="R79" s="10" t="s">
        <v>41</v>
      </c>
      <c r="U79" s="93" t="s">
        <v>399</v>
      </c>
      <c r="Y79" s="10" t="s">
        <v>382</v>
      </c>
      <c r="AA79" s="74" t="str">
        <f t="shared" si="3"/>
        <v>?</v>
      </c>
    </row>
    <row r="80" ht="14.25" customHeight="1">
      <c r="A80" s="91" t="str">
        <f t="shared" si="5"/>
        <v>https://www.vivo.com.br/para-voce/ajuda/mais-ajuda/encontre-uma-loja?utm_source=mktcloud&amp;utm_medium=emailmkt&amp;utm_campaign=##ApproachStart##-Ofertas-semana-cliente-controle_vivo_b2c_ecommerce_terminais_smart-ofertas_oferta&amp;utm_content=___&amp;utm_term=##IDPlay##_</v>
      </c>
      <c r="B80" s="95" t="s">
        <v>449</v>
      </c>
      <c r="C80" s="10" t="s">
        <v>160</v>
      </c>
      <c r="D80" s="10" t="s">
        <v>94</v>
      </c>
      <c r="E80" s="93" t="s">
        <v>477</v>
      </c>
      <c r="F80" s="93" t="s">
        <v>44</v>
      </c>
      <c r="G80" s="93" t="s">
        <v>45</v>
      </c>
      <c r="H80" s="93" t="s">
        <v>95</v>
      </c>
      <c r="I80" s="93" t="s">
        <v>189</v>
      </c>
      <c r="J80" s="93" t="s">
        <v>243</v>
      </c>
      <c r="K80" s="93" t="s">
        <v>117</v>
      </c>
      <c r="L80" s="10" t="s">
        <v>35</v>
      </c>
      <c r="M80" s="10" t="s">
        <v>36</v>
      </c>
      <c r="N80" s="10" t="s">
        <v>37</v>
      </c>
      <c r="O80" s="10" t="s">
        <v>38</v>
      </c>
      <c r="P80" s="10" t="s">
        <v>39</v>
      </c>
      <c r="Q80" s="10" t="s">
        <v>40</v>
      </c>
      <c r="R80" s="10" t="s">
        <v>41</v>
      </c>
      <c r="Y80" s="10" t="s">
        <v>382</v>
      </c>
      <c r="AA80" s="74" t="str">
        <f t="shared" si="3"/>
        <v>?</v>
      </c>
    </row>
    <row r="81" ht="14.25" customHeight="1">
      <c r="A81" s="10" t="str">
        <f t="shared" si="5"/>
        <v>?utm_source=mktcloud&amp;utm_medium=emailmkt&amp;utm_campaign=##ApproachStart##-Ofertas-semana-cliente-controle_vivo_b2c_ecommerce_terminais_smart-ofertas_oferta&amp;utm_content=CTA1___&amp;utm_term=##IDPlay##_</v>
      </c>
      <c r="C81" s="10" t="s">
        <v>160</v>
      </c>
      <c r="D81" s="10" t="s">
        <v>94</v>
      </c>
      <c r="E81" s="93" t="s">
        <v>477</v>
      </c>
      <c r="F81" s="93" t="s">
        <v>44</v>
      </c>
      <c r="G81" s="93" t="s">
        <v>45</v>
      </c>
      <c r="H81" s="93" t="s">
        <v>95</v>
      </c>
      <c r="I81" s="93" t="s">
        <v>189</v>
      </c>
      <c r="J81" s="93" t="s">
        <v>243</v>
      </c>
      <c r="K81" s="93" t="s">
        <v>117</v>
      </c>
      <c r="L81" s="10" t="s">
        <v>35</v>
      </c>
      <c r="M81" s="10" t="s">
        <v>36</v>
      </c>
      <c r="N81" s="10" t="s">
        <v>37</v>
      </c>
      <c r="O81" s="10" t="s">
        <v>38</v>
      </c>
      <c r="P81" s="10" t="s">
        <v>39</v>
      </c>
      <c r="Q81" s="10" t="s">
        <v>40</v>
      </c>
      <c r="R81" s="10" t="s">
        <v>41</v>
      </c>
      <c r="U81" s="93" t="s">
        <v>387</v>
      </c>
      <c r="Y81" s="10" t="s">
        <v>382</v>
      </c>
      <c r="AA81" s="74" t="str">
        <f t="shared" si="3"/>
        <v>?</v>
      </c>
    </row>
    <row r="82" ht="14.25" customHeight="1">
      <c r="A82" s="10" t="str">
        <f t="shared" si="5"/>
        <v>?utm_source=mktcloud&amp;utm_medium=emailmkt&amp;utm_campaign=##ApproachStart##-Ofertas-semana-cliente-controle_vivo_b2c_ecommerce_terminais_smart-ofertas_oferta&amp;utm_content=CTA2___&amp;utm_term=##IDPlay##_</v>
      </c>
      <c r="C82" s="10" t="s">
        <v>160</v>
      </c>
      <c r="D82" s="10" t="s">
        <v>94</v>
      </c>
      <c r="E82" s="93" t="s">
        <v>477</v>
      </c>
      <c r="F82" s="93" t="s">
        <v>44</v>
      </c>
      <c r="G82" s="93" t="s">
        <v>45</v>
      </c>
      <c r="H82" s="93" t="s">
        <v>95</v>
      </c>
      <c r="I82" s="93" t="s">
        <v>189</v>
      </c>
      <c r="J82" s="93" t="s">
        <v>243</v>
      </c>
      <c r="K82" s="93" t="s">
        <v>117</v>
      </c>
      <c r="L82" s="10" t="s">
        <v>35</v>
      </c>
      <c r="M82" s="10" t="s">
        <v>36</v>
      </c>
      <c r="N82" s="10" t="s">
        <v>37</v>
      </c>
      <c r="O82" s="10" t="s">
        <v>38</v>
      </c>
      <c r="P82" s="10" t="s">
        <v>39</v>
      </c>
      <c r="Q82" s="10" t="s">
        <v>40</v>
      </c>
      <c r="R82" s="10" t="s">
        <v>41</v>
      </c>
      <c r="U82" s="93" t="s">
        <v>393</v>
      </c>
      <c r="Y82" s="10" t="s">
        <v>382</v>
      </c>
      <c r="AA82" s="74" t="str">
        <f t="shared" si="3"/>
        <v>?</v>
      </c>
    </row>
    <row r="83" ht="14.25" customHeight="1">
      <c r="A83" s="10" t="str">
        <f t="shared" si="5"/>
        <v>?utm_source=mktcloud&amp;utm_medium=emailmkt&amp;utm_campaign=##ApproachStart##-Ofertas-semana-cliente-controle_vivo_b2c_ecommerce_terminais_smart-ofertas_oferta&amp;utm_content=CTA3___&amp;utm_term=##IDPlay##_</v>
      </c>
      <c r="C83" s="10" t="s">
        <v>160</v>
      </c>
      <c r="D83" s="10" t="s">
        <v>94</v>
      </c>
      <c r="E83" s="93" t="s">
        <v>477</v>
      </c>
      <c r="F83" s="93" t="s">
        <v>44</v>
      </c>
      <c r="G83" s="93" t="s">
        <v>45</v>
      </c>
      <c r="H83" s="93" t="s">
        <v>95</v>
      </c>
      <c r="I83" s="93" t="s">
        <v>189</v>
      </c>
      <c r="J83" s="93" t="s">
        <v>243</v>
      </c>
      <c r="K83" s="93" t="s">
        <v>117</v>
      </c>
      <c r="L83" s="10" t="s">
        <v>35</v>
      </c>
      <c r="M83" s="10" t="s">
        <v>36</v>
      </c>
      <c r="N83" s="10" t="s">
        <v>37</v>
      </c>
      <c r="O83" s="10" t="s">
        <v>38</v>
      </c>
      <c r="P83" s="10" t="s">
        <v>39</v>
      </c>
      <c r="Q83" s="10" t="s">
        <v>40</v>
      </c>
      <c r="R83" s="10" t="s">
        <v>41</v>
      </c>
      <c r="U83" s="93" t="s">
        <v>395</v>
      </c>
      <c r="Y83" s="10" t="s">
        <v>382</v>
      </c>
      <c r="AA83" s="74" t="str">
        <f t="shared" si="3"/>
        <v>?</v>
      </c>
    </row>
    <row r="84" ht="14.25" customHeight="1">
      <c r="A84" s="10" t="str">
        <f t="shared" si="5"/>
        <v>?utm_source=mktcloud&amp;utm_medium=emailmkt&amp;utm_campaign=##ApproachStart##-Ofertas-semana-cliente-controle_vivo_b2c_ecommerce_terminais_smart-ofertas_oferta&amp;utm_content=CTA4___&amp;utm_term=##IDPlay##_</v>
      </c>
      <c r="C84" s="10" t="s">
        <v>160</v>
      </c>
      <c r="D84" s="10" t="s">
        <v>94</v>
      </c>
      <c r="E84" s="93" t="s">
        <v>477</v>
      </c>
      <c r="F84" s="93" t="s">
        <v>44</v>
      </c>
      <c r="G84" s="93" t="s">
        <v>45</v>
      </c>
      <c r="H84" s="93" t="s">
        <v>95</v>
      </c>
      <c r="I84" s="93" t="s">
        <v>189</v>
      </c>
      <c r="J84" s="93" t="s">
        <v>243</v>
      </c>
      <c r="K84" s="93" t="s">
        <v>117</v>
      </c>
      <c r="L84" s="10" t="s">
        <v>35</v>
      </c>
      <c r="M84" s="10" t="s">
        <v>36</v>
      </c>
      <c r="N84" s="10" t="s">
        <v>37</v>
      </c>
      <c r="O84" s="10" t="s">
        <v>38</v>
      </c>
      <c r="P84" s="10" t="s">
        <v>39</v>
      </c>
      <c r="Q84" s="10" t="s">
        <v>40</v>
      </c>
      <c r="R84" s="10" t="s">
        <v>41</v>
      </c>
      <c r="U84" s="93" t="s">
        <v>397</v>
      </c>
      <c r="Y84" s="10" t="s">
        <v>382</v>
      </c>
      <c r="AA84" s="74" t="str">
        <f t="shared" si="3"/>
        <v>?</v>
      </c>
    </row>
    <row r="85" ht="14.25" customHeight="1">
      <c r="A85" s="10" t="str">
        <f t="shared" si="5"/>
        <v>?utm_source=mktcloud&amp;utm_medium=emailmkt&amp;utm_campaign=##ApproachStart##-Ofertas-semana-cliente-controle_vivo_b2c_ecommerce_terminais_smart-ofertas_oferta&amp;utm_content=CTA5___&amp;utm_term=##IDPlay##_</v>
      </c>
      <c r="C85" s="10" t="s">
        <v>160</v>
      </c>
      <c r="D85" s="10" t="s">
        <v>94</v>
      </c>
      <c r="E85" s="93" t="s">
        <v>477</v>
      </c>
      <c r="F85" s="93" t="s">
        <v>44</v>
      </c>
      <c r="G85" s="93" t="s">
        <v>45</v>
      </c>
      <c r="H85" s="93" t="s">
        <v>95</v>
      </c>
      <c r="I85" s="93" t="s">
        <v>189</v>
      </c>
      <c r="J85" s="93" t="s">
        <v>243</v>
      </c>
      <c r="K85" s="93" t="s">
        <v>117</v>
      </c>
      <c r="L85" s="10" t="s">
        <v>35</v>
      </c>
      <c r="M85" s="10" t="s">
        <v>36</v>
      </c>
      <c r="N85" s="10" t="s">
        <v>37</v>
      </c>
      <c r="O85" s="10" t="s">
        <v>38</v>
      </c>
      <c r="P85" s="10" t="s">
        <v>39</v>
      </c>
      <c r="Q85" s="10" t="s">
        <v>40</v>
      </c>
      <c r="R85" s="10" t="s">
        <v>41</v>
      </c>
      <c r="U85" s="93" t="s">
        <v>399</v>
      </c>
      <c r="Y85" s="10" t="s">
        <v>382</v>
      </c>
      <c r="AA85" s="74" t="str">
        <f t="shared" si="3"/>
        <v>?</v>
      </c>
    </row>
    <row r="86" ht="14.25" customHeight="1">
      <c r="A86" s="10" t="str">
        <f t="shared" si="5"/>
        <v>?utm_source=mktcloud&amp;utm_medium=emailmkt&amp;utm_campaign=##ApproachStart##-Ofertas-semana-cliente-controle_vivo_b2c_ecommerce_terminais_smart-ofertas_oferta&amp;utm_content=CTA6___&amp;utm_term=##IDPlay##_</v>
      </c>
      <c r="C86" s="10" t="s">
        <v>160</v>
      </c>
      <c r="D86" s="10" t="s">
        <v>94</v>
      </c>
      <c r="E86" s="93" t="s">
        <v>477</v>
      </c>
      <c r="F86" s="93" t="s">
        <v>44</v>
      </c>
      <c r="G86" s="93" t="s">
        <v>45</v>
      </c>
      <c r="H86" s="93" t="s">
        <v>95</v>
      </c>
      <c r="I86" s="93" t="s">
        <v>189</v>
      </c>
      <c r="J86" s="93" t="s">
        <v>243</v>
      </c>
      <c r="K86" s="93" t="s">
        <v>117</v>
      </c>
      <c r="L86" s="10" t="s">
        <v>35</v>
      </c>
      <c r="M86" s="10" t="s">
        <v>36</v>
      </c>
      <c r="N86" s="10" t="s">
        <v>37</v>
      </c>
      <c r="O86" s="10" t="s">
        <v>38</v>
      </c>
      <c r="P86" s="10" t="s">
        <v>39</v>
      </c>
      <c r="Q86" s="10" t="s">
        <v>40</v>
      </c>
      <c r="R86" s="10" t="s">
        <v>41</v>
      </c>
      <c r="U86" s="93" t="s">
        <v>401</v>
      </c>
      <c r="Y86" s="10" t="s">
        <v>382</v>
      </c>
      <c r="AA86" s="74" t="str">
        <f t="shared" si="3"/>
        <v>?</v>
      </c>
    </row>
    <row r="87" ht="14.25" customHeight="1">
      <c r="A87" s="10" t="str">
        <f t="shared" si="5"/>
        <v>?utm_source=mktcloud&amp;utm_medium=emailmkt&amp;utm_campaign=##ApproachStart##-Ofertas-semana-cliente-controle_vivo_b2c_ecommerce_terminais_smart-ofertas_oferta&amp;utm_content=CTA7___&amp;utm_term=##IDPlay##_</v>
      </c>
      <c r="C87" s="10" t="s">
        <v>160</v>
      </c>
      <c r="D87" s="10" t="s">
        <v>94</v>
      </c>
      <c r="E87" s="93" t="s">
        <v>477</v>
      </c>
      <c r="F87" s="93" t="s">
        <v>44</v>
      </c>
      <c r="G87" s="93" t="s">
        <v>45</v>
      </c>
      <c r="H87" s="93" t="s">
        <v>95</v>
      </c>
      <c r="I87" s="93" t="s">
        <v>189</v>
      </c>
      <c r="J87" s="93" t="s">
        <v>243</v>
      </c>
      <c r="K87" s="93" t="s">
        <v>117</v>
      </c>
      <c r="L87" s="10" t="s">
        <v>35</v>
      </c>
      <c r="M87" s="10" t="s">
        <v>36</v>
      </c>
      <c r="N87" s="10" t="s">
        <v>37</v>
      </c>
      <c r="O87" s="10" t="s">
        <v>38</v>
      </c>
      <c r="P87" s="10" t="s">
        <v>39</v>
      </c>
      <c r="Q87" s="10" t="s">
        <v>40</v>
      </c>
      <c r="R87" s="10" t="s">
        <v>41</v>
      </c>
      <c r="U87" s="93" t="s">
        <v>389</v>
      </c>
      <c r="Y87" s="10" t="s">
        <v>382</v>
      </c>
      <c r="AA87" s="74" t="str">
        <f t="shared" si="3"/>
        <v>?</v>
      </c>
    </row>
    <row r="88" ht="14.25" customHeight="1">
      <c r="A88" s="91" t="str">
        <f t="shared" si="5"/>
        <v>https://lojaonline.vivo.com.br/?utm_source=mktcloud&amp;utm_medium=emailmkt&amp;utm_campaign=##ApproachStart##-Valoriza-xp_vivo_b2c_sva_valoriza_duo_relacionamento&amp;utm_content=___&amp;utm_term=##IDPlay##_</v>
      </c>
      <c r="B88" s="92" t="s">
        <v>478</v>
      </c>
      <c r="C88" s="93" t="s">
        <v>160</v>
      </c>
      <c r="D88" s="93" t="s">
        <v>94</v>
      </c>
      <c r="E88" s="93" t="s">
        <v>479</v>
      </c>
      <c r="F88" s="93" t="s">
        <v>44</v>
      </c>
      <c r="G88" s="93" t="s">
        <v>45</v>
      </c>
      <c r="H88" s="93" t="s">
        <v>133</v>
      </c>
      <c r="I88" s="93" t="s">
        <v>199</v>
      </c>
      <c r="J88" s="93" t="s">
        <v>143</v>
      </c>
      <c r="K88" s="93" t="s">
        <v>144</v>
      </c>
      <c r="L88" s="10" t="s">
        <v>35</v>
      </c>
      <c r="M88" s="10" t="s">
        <v>36</v>
      </c>
      <c r="N88" s="10" t="s">
        <v>37</v>
      </c>
      <c r="O88" s="10" t="s">
        <v>38</v>
      </c>
      <c r="P88" s="10" t="s">
        <v>39</v>
      </c>
      <c r="Q88" s="10" t="s">
        <v>40</v>
      </c>
      <c r="R88" s="10" t="s">
        <v>41</v>
      </c>
      <c r="Y88" s="10" t="s">
        <v>382</v>
      </c>
      <c r="AA88" s="74" t="str">
        <f t="shared" si="3"/>
        <v>?</v>
      </c>
    </row>
    <row r="89" ht="14.25" customHeight="1">
      <c r="A89" s="91" t="str">
        <f t="shared" si="5"/>
        <v>www.vivo.com.br/portaldeservico?utm_source=mktcloud&amp;utm_medium=emailmkt&amp;utm_campaign=##ApproachStart##-Welcome-internet-dedicada-flex_vivo_b2b_fixa_internet_vivo-internet_relacionamento&amp;utm_content=___&amp;utm_term=##IDPlay##_</v>
      </c>
      <c r="B89" s="96" t="s">
        <v>480</v>
      </c>
      <c r="C89" s="93" t="s">
        <v>160</v>
      </c>
      <c r="D89" s="93" t="s">
        <v>94</v>
      </c>
      <c r="E89" s="97" t="s">
        <v>481</v>
      </c>
      <c r="F89" s="93" t="s">
        <v>44</v>
      </c>
      <c r="G89" s="93" t="s">
        <v>64</v>
      </c>
      <c r="H89" s="93" t="s">
        <v>108</v>
      </c>
      <c r="I89" s="93" t="s">
        <v>125</v>
      </c>
      <c r="J89" s="93" t="s">
        <v>270</v>
      </c>
      <c r="K89" s="93" t="s">
        <v>144</v>
      </c>
      <c r="L89" s="10" t="s">
        <v>35</v>
      </c>
      <c r="M89" s="10" t="s">
        <v>36</v>
      </c>
      <c r="N89" s="10" t="s">
        <v>37</v>
      </c>
      <c r="O89" s="10" t="s">
        <v>38</v>
      </c>
      <c r="P89" s="10" t="s">
        <v>39</v>
      </c>
      <c r="Q89" s="10" t="s">
        <v>40</v>
      </c>
      <c r="R89" s="10" t="s">
        <v>41</v>
      </c>
      <c r="Y89" s="10" t="s">
        <v>382</v>
      </c>
      <c r="AA89" s="74" t="str">
        <f t="shared" si="3"/>
        <v>?</v>
      </c>
    </row>
    <row r="90" ht="14.25" customHeight="1">
      <c r="A90" s="91" t="str">
        <f t="shared" si="5"/>
        <v>https://conteudo.skeelo.app/vivo?utm_source=vivo&amp;utm_medium=null&amp;utm_campaign=incentivo_cadastro&amp;utm_source=mktcloud&amp;utm_medium=emailmkt&amp;utm_campaign=##ApproachStart##-Engajamento-Skeelo-Resgate-Seja-Foda_vivo_b2c_servicosdigitais_servicosdigitais_movel_relacionamento&amp;utm_content=___&amp;utm_term=##IDPlay##_</v>
      </c>
      <c r="B90" s="98" t="s">
        <v>482</v>
      </c>
      <c r="C90" s="93" t="s">
        <v>160</v>
      </c>
      <c r="D90" s="93" t="s">
        <v>94</v>
      </c>
      <c r="E90" s="97" t="s">
        <v>483</v>
      </c>
      <c r="F90" s="93" t="s">
        <v>44</v>
      </c>
      <c r="G90" s="93" t="s">
        <v>45</v>
      </c>
      <c r="H90" s="93" t="s">
        <v>141</v>
      </c>
      <c r="I90" s="93" t="s">
        <v>141</v>
      </c>
      <c r="J90" s="93" t="s">
        <v>124</v>
      </c>
      <c r="K90" s="93" t="s">
        <v>144</v>
      </c>
      <c r="L90" s="10" t="s">
        <v>35</v>
      </c>
      <c r="M90" s="10" t="s">
        <v>36</v>
      </c>
      <c r="N90" s="10" t="s">
        <v>37</v>
      </c>
      <c r="O90" s="10" t="s">
        <v>38</v>
      </c>
      <c r="P90" s="10" t="s">
        <v>39</v>
      </c>
      <c r="Q90" s="10" t="s">
        <v>40</v>
      </c>
      <c r="R90" s="10" t="s">
        <v>41</v>
      </c>
      <c r="Y90" s="10" t="s">
        <v>382</v>
      </c>
      <c r="AA90" s="74" t="str">
        <f t="shared" si="3"/>
        <v>&amp;</v>
      </c>
    </row>
    <row r="91" ht="14.25" customHeight="1">
      <c r="A91" s="91" t="str">
        <f t="shared" si="5"/>
        <v>https://conteudo.skeelo.app/vivo?utm_source=vivo&amp;utm_medium=null&amp;utm_campaign=incentivo_cadastro&amp;utm_source=mktcloud&amp;utm_medium=emailmkt&amp;utm_campaign=##ApproachStart##-Engajamento-Skeelo-Resgate-Ponto-Inflexao_vivo_b2c_servicosdigitais_servicosdigitais_movel_relacionamento&amp;utm_content=___&amp;utm_term=##IDPlay##_</v>
      </c>
      <c r="B91" s="94" t="s">
        <v>482</v>
      </c>
      <c r="C91" s="93" t="s">
        <v>160</v>
      </c>
      <c r="D91" s="93" t="s">
        <v>94</v>
      </c>
      <c r="E91" s="97" t="s">
        <v>484</v>
      </c>
      <c r="F91" s="93" t="s">
        <v>44</v>
      </c>
      <c r="G91" s="93" t="s">
        <v>45</v>
      </c>
      <c r="H91" s="93" t="s">
        <v>141</v>
      </c>
      <c r="I91" s="93" t="s">
        <v>141</v>
      </c>
      <c r="J91" s="93" t="s">
        <v>124</v>
      </c>
      <c r="K91" s="93" t="s">
        <v>144</v>
      </c>
      <c r="L91" s="10" t="s">
        <v>35</v>
      </c>
      <c r="M91" s="10" t="s">
        <v>36</v>
      </c>
      <c r="N91" s="10" t="s">
        <v>37</v>
      </c>
      <c r="O91" s="10" t="s">
        <v>38</v>
      </c>
      <c r="P91" s="10" t="s">
        <v>39</v>
      </c>
      <c r="Q91" s="10" t="s">
        <v>40</v>
      </c>
      <c r="R91" s="10" t="s">
        <v>41</v>
      </c>
      <c r="Y91" s="10" t="s">
        <v>382</v>
      </c>
      <c r="AA91" s="74" t="str">
        <f t="shared" si="3"/>
        <v>&amp;</v>
      </c>
    </row>
    <row r="92" ht="14.25" customHeight="1">
      <c r="A92" s="10" t="str">
        <f t="shared" si="5"/>
        <v>?utm_source=mktcloud&amp;utm_medium=emailmkt&amp;utm_campaign=##ApproachStart##-Oferta-la-carte-HBO-oferta1_vivo_b2c_servicosdigitais_servicosdigitais_vivo-tv_oferta&amp;utm_content=___&amp;utm_term=##IDPlay##_</v>
      </c>
      <c r="C92" s="93" t="s">
        <v>160</v>
      </c>
      <c r="D92" s="93" t="s">
        <v>94</v>
      </c>
      <c r="E92" s="97" t="s">
        <v>485</v>
      </c>
      <c r="F92" s="93" t="s">
        <v>44</v>
      </c>
      <c r="G92" s="93" t="s">
        <v>45</v>
      </c>
      <c r="H92" s="93" t="s">
        <v>141</v>
      </c>
      <c r="I92" s="93" t="s">
        <v>141</v>
      </c>
      <c r="J92" s="93" t="s">
        <v>282</v>
      </c>
      <c r="K92" s="93" t="s">
        <v>117</v>
      </c>
      <c r="L92" s="10" t="s">
        <v>35</v>
      </c>
      <c r="M92" s="10" t="s">
        <v>36</v>
      </c>
      <c r="N92" s="10" t="s">
        <v>37</v>
      </c>
      <c r="O92" s="10" t="s">
        <v>38</v>
      </c>
      <c r="P92" s="10" t="s">
        <v>39</v>
      </c>
      <c r="Q92" s="10" t="s">
        <v>40</v>
      </c>
      <c r="R92" s="10" t="s">
        <v>41</v>
      </c>
      <c r="Y92" s="10" t="s">
        <v>382</v>
      </c>
      <c r="AA92" s="74" t="str">
        <f t="shared" si="3"/>
        <v>?</v>
      </c>
    </row>
    <row r="93" ht="14.25" customHeight="1">
      <c r="A93" s="10" t="str">
        <f t="shared" si="5"/>
        <v>?utm_source=mktcloud&amp;utm_medium=emailmkt&amp;utm_campaign=##ApproachStart##-Oferta-la-carte-HBO-oferta2_vivo_b2c_servicosdigitais_servicosdigitais_vivo-tv_oferta&amp;utm_content=___&amp;utm_term=##IDPlay##_</v>
      </c>
      <c r="C93" s="93" t="s">
        <v>160</v>
      </c>
      <c r="D93" s="93" t="s">
        <v>94</v>
      </c>
      <c r="E93" s="97" t="s">
        <v>486</v>
      </c>
      <c r="F93" s="93" t="s">
        <v>44</v>
      </c>
      <c r="G93" s="93" t="s">
        <v>45</v>
      </c>
      <c r="H93" s="93" t="s">
        <v>141</v>
      </c>
      <c r="I93" s="93" t="s">
        <v>141</v>
      </c>
      <c r="J93" s="93" t="s">
        <v>282</v>
      </c>
      <c r="K93" s="93" t="s">
        <v>117</v>
      </c>
      <c r="L93" s="10" t="s">
        <v>35</v>
      </c>
      <c r="M93" s="10" t="s">
        <v>36</v>
      </c>
      <c r="N93" s="10" t="s">
        <v>37</v>
      </c>
      <c r="O93" s="10" t="s">
        <v>38</v>
      </c>
      <c r="P93" s="10" t="s">
        <v>39</v>
      </c>
      <c r="Q93" s="10" t="s">
        <v>40</v>
      </c>
      <c r="R93" s="10" t="s">
        <v>41</v>
      </c>
      <c r="Y93" s="10" t="s">
        <v>382</v>
      </c>
      <c r="AA93" s="74" t="str">
        <f t="shared" si="3"/>
        <v>?</v>
      </c>
    </row>
    <row r="94" ht="14.25" customHeight="1">
      <c r="A94" s="10" t="str">
        <f t="shared" si="5"/>
        <v>?utm_source=mktcloud&amp;utm_medium=emailmkt&amp;utm_campaign=##ApproachStart##-Oferta-la-carte-HBO-rentabilizacao_vivo_b2c_servicosdigitais_servicosdigitais_vivo-tv_oferta&amp;utm_content=___&amp;utm_term=##IDPlay##_</v>
      </c>
      <c r="C94" s="93" t="s">
        <v>160</v>
      </c>
      <c r="D94" s="93" t="s">
        <v>94</v>
      </c>
      <c r="E94" s="97" t="s">
        <v>487</v>
      </c>
      <c r="F94" s="93" t="s">
        <v>44</v>
      </c>
      <c r="G94" s="93" t="s">
        <v>45</v>
      </c>
      <c r="H94" s="93" t="s">
        <v>141</v>
      </c>
      <c r="I94" s="93" t="s">
        <v>141</v>
      </c>
      <c r="J94" s="93" t="s">
        <v>282</v>
      </c>
      <c r="K94" s="93" t="s">
        <v>117</v>
      </c>
      <c r="L94" s="10" t="s">
        <v>35</v>
      </c>
      <c r="M94" s="10" t="s">
        <v>36</v>
      </c>
      <c r="N94" s="10" t="s">
        <v>37</v>
      </c>
      <c r="O94" s="10" t="s">
        <v>38</v>
      </c>
      <c r="P94" s="10" t="s">
        <v>39</v>
      </c>
      <c r="Q94" s="10" t="s">
        <v>40</v>
      </c>
      <c r="R94" s="10" t="s">
        <v>41</v>
      </c>
      <c r="Y94" s="10" t="s">
        <v>382</v>
      </c>
      <c r="AA94" s="74" t="str">
        <f t="shared" si="3"/>
        <v>?</v>
      </c>
    </row>
    <row r="95" ht="14.25" customHeight="1">
      <c r="A95" s="10" t="str">
        <f t="shared" si="5"/>
        <v>?utm_source=mktcloud&amp;utm_medium=emailmkt&amp;utm_campaign=##ApproachStart##-Comunicado-novo-app-vivo_vivo_b2c_fixa_meu-vivo_duo_comunicado&amp;utm_content=___&amp;utm_term=##IDPlay##_</v>
      </c>
      <c r="C95" s="93" t="s">
        <v>160</v>
      </c>
      <c r="D95" s="93" t="s">
        <v>94</v>
      </c>
      <c r="E95" s="97" t="s">
        <v>488</v>
      </c>
      <c r="F95" s="93" t="s">
        <v>44</v>
      </c>
      <c r="G95" s="93" t="s">
        <v>45</v>
      </c>
      <c r="H95" s="93" t="s">
        <v>108</v>
      </c>
      <c r="I95" s="93" t="s">
        <v>156</v>
      </c>
      <c r="J95" s="93" t="s">
        <v>143</v>
      </c>
      <c r="K95" s="93" t="s">
        <v>68</v>
      </c>
      <c r="L95" s="10" t="s">
        <v>35</v>
      </c>
      <c r="M95" s="10" t="s">
        <v>36</v>
      </c>
      <c r="N95" s="10" t="s">
        <v>37</v>
      </c>
      <c r="O95" s="10" t="s">
        <v>38</v>
      </c>
      <c r="P95" s="10" t="s">
        <v>39</v>
      </c>
      <c r="Q95" s="10" t="s">
        <v>40</v>
      </c>
      <c r="R95" s="10" t="s">
        <v>41</v>
      </c>
      <c r="Y95" s="10" t="s">
        <v>382</v>
      </c>
      <c r="AA95" s="74" t="str">
        <f t="shared" si="3"/>
        <v>?</v>
      </c>
    </row>
    <row r="96" ht="14.25" customHeight="1">
      <c r="A96" s="10" t="str">
        <f t="shared" si="5"/>
        <v>?utm_source=mktcloud&amp;utm_medium=emailmkt&amp;utm_campaign=##ApproachStart##-Estadio-TNT-sports-juventude-santos_vivo_b2c_servicosdigitais_servicosdigitais_fixa_relacionamento&amp;utm_content=___&amp;utm_term=##IDPlay##_</v>
      </c>
      <c r="C96" s="93" t="s">
        <v>160</v>
      </c>
      <c r="D96" s="93" t="s">
        <v>94</v>
      </c>
      <c r="E96" s="97" t="s">
        <v>489</v>
      </c>
      <c r="F96" s="93" t="s">
        <v>44</v>
      </c>
      <c r="G96" s="93" t="s">
        <v>45</v>
      </c>
      <c r="H96" s="93" t="s">
        <v>141</v>
      </c>
      <c r="I96" s="93" t="s">
        <v>141</v>
      </c>
      <c r="J96" s="93" t="s">
        <v>108</v>
      </c>
      <c r="K96" s="93" t="s">
        <v>144</v>
      </c>
      <c r="L96" s="10" t="s">
        <v>35</v>
      </c>
      <c r="M96" s="10" t="s">
        <v>36</v>
      </c>
      <c r="N96" s="10" t="s">
        <v>37</v>
      </c>
      <c r="O96" s="10" t="s">
        <v>38</v>
      </c>
      <c r="P96" s="10" t="s">
        <v>39</v>
      </c>
      <c r="Q96" s="10" t="s">
        <v>40</v>
      </c>
      <c r="R96" s="10" t="s">
        <v>41</v>
      </c>
      <c r="Y96" s="10" t="s">
        <v>382</v>
      </c>
      <c r="AA96" s="74" t="str">
        <f t="shared" si="3"/>
        <v>?</v>
      </c>
    </row>
    <row r="97" ht="14.25" customHeight="1">
      <c r="A97" s="10" t="str">
        <f t="shared" si="5"/>
        <v>?utm_source=mktcloud&amp;utm_medium=emailmkt&amp;utm_campaign=##ApproachStart##-Lancamento-motoedge20_vivo_b2c_ecommerce_terminais_movel_lancamento&amp;utm_content=___&amp;utm_term=##IDPlay##_</v>
      </c>
      <c r="C97" s="93" t="s">
        <v>160</v>
      </c>
      <c r="D97" s="93" t="s">
        <v>94</v>
      </c>
      <c r="E97" s="97" t="s">
        <v>490</v>
      </c>
      <c r="F97" s="93" t="s">
        <v>44</v>
      </c>
      <c r="G97" s="93" t="s">
        <v>45</v>
      </c>
      <c r="H97" s="93" t="s">
        <v>95</v>
      </c>
      <c r="I97" s="93" t="s">
        <v>189</v>
      </c>
      <c r="J97" s="93" t="s">
        <v>124</v>
      </c>
      <c r="K97" s="93" t="s">
        <v>98</v>
      </c>
      <c r="L97" s="10" t="s">
        <v>35</v>
      </c>
      <c r="M97" s="10" t="s">
        <v>36</v>
      </c>
      <c r="N97" s="10" t="s">
        <v>37</v>
      </c>
      <c r="O97" s="10" t="s">
        <v>38</v>
      </c>
      <c r="P97" s="10" t="s">
        <v>39</v>
      </c>
      <c r="Q97" s="10" t="s">
        <v>40</v>
      </c>
      <c r="R97" s="10" t="s">
        <v>41</v>
      </c>
      <c r="Y97" s="10" t="s">
        <v>382</v>
      </c>
      <c r="AA97" s="74" t="str">
        <f t="shared" si="3"/>
        <v>?</v>
      </c>
    </row>
    <row r="98" ht="14.25" customHeight="1">
      <c r="A98" s="91" t="str">
        <f t="shared" si="5"/>
        <v>https://www.vivo.com.br/para-voce/produtos-e-servicos/smartphones/ofertas/galaxy-zfold3-flip3-5g?utm_source=mktcloud&amp;utm_medium=emailmkt&amp;utm_campaign=##ApproachStart##-Pre-cadastro-lancamento-samsung-galaxy_vivo_b2c_ecommerce_terminais_movel_lancamento&amp;utm_content=___&amp;utm_term=##IDPlay##_</v>
      </c>
      <c r="B98" s="92" t="s">
        <v>491</v>
      </c>
      <c r="C98" s="93" t="s">
        <v>160</v>
      </c>
      <c r="D98" s="93" t="s">
        <v>94</v>
      </c>
      <c r="E98" s="97" t="s">
        <v>492</v>
      </c>
      <c r="F98" s="93" t="s">
        <v>44</v>
      </c>
      <c r="G98" s="93" t="s">
        <v>45</v>
      </c>
      <c r="H98" s="93" t="s">
        <v>95</v>
      </c>
      <c r="I98" s="93" t="s">
        <v>189</v>
      </c>
      <c r="J98" s="93" t="s">
        <v>124</v>
      </c>
      <c r="K98" s="93" t="s">
        <v>98</v>
      </c>
      <c r="L98" s="10" t="s">
        <v>35</v>
      </c>
      <c r="M98" s="10" t="s">
        <v>36</v>
      </c>
      <c r="N98" s="10" t="s">
        <v>37</v>
      </c>
      <c r="O98" s="10" t="s">
        <v>38</v>
      </c>
      <c r="P98" s="10" t="s">
        <v>39</v>
      </c>
      <c r="Q98" s="10" t="s">
        <v>40</v>
      </c>
      <c r="R98" s="10" t="s">
        <v>41</v>
      </c>
      <c r="Y98" s="10" t="s">
        <v>382</v>
      </c>
      <c r="AA98" s="74" t="str">
        <f t="shared" si="3"/>
        <v>?</v>
      </c>
    </row>
    <row r="99" ht="14.25" customHeight="1">
      <c r="A99" s="10" t="str">
        <f t="shared" si="5"/>
        <v>?utm_source=mktcloud&amp;utm_medium=emailmkt&amp;utm_campaign=##ApproachStart##-Acao-engajamento-atualizacao-chip_vivo_b2c_movel_institucional_movel_relacionamento&amp;utm_content=___&amp;utm_term=##IDPlay##_</v>
      </c>
      <c r="C99" s="93" t="s">
        <v>160</v>
      </c>
      <c r="D99" s="93" t="s">
        <v>94</v>
      </c>
      <c r="E99" s="97" t="s">
        <v>493</v>
      </c>
      <c r="F99" s="93" t="s">
        <v>44</v>
      </c>
      <c r="G99" s="93" t="s">
        <v>45</v>
      </c>
      <c r="H99" s="93" t="s">
        <v>124</v>
      </c>
      <c r="I99" s="93" t="s">
        <v>115</v>
      </c>
      <c r="J99" s="93" t="s">
        <v>124</v>
      </c>
      <c r="K99" s="93" t="s">
        <v>144</v>
      </c>
      <c r="L99" s="10" t="s">
        <v>35</v>
      </c>
      <c r="M99" s="10" t="s">
        <v>36</v>
      </c>
      <c r="N99" s="10" t="s">
        <v>37</v>
      </c>
      <c r="O99" s="10" t="s">
        <v>38</v>
      </c>
      <c r="P99" s="10" t="s">
        <v>39</v>
      </c>
      <c r="Q99" s="10" t="s">
        <v>40</v>
      </c>
      <c r="R99" s="10" t="s">
        <v>41</v>
      </c>
      <c r="Y99" s="10" t="s">
        <v>382</v>
      </c>
      <c r="AA99" s="74" t="str">
        <f t="shared" si="3"/>
        <v>?</v>
      </c>
    </row>
    <row r="100" ht="14.25" customHeight="1">
      <c r="A100" s="10" t="str">
        <f t="shared" si="5"/>
        <v>?utm_source=mktcloud&amp;utm_medium=emailmkt&amp;utm_campaign=##ApproachStart##-Acao-engajamento-atualizacao-aparelho_vivo_b2c_movel_institucional_movel_relacionamento&amp;utm_content=___&amp;utm_term=##IDPlay##_</v>
      </c>
      <c r="C100" s="93" t="s">
        <v>160</v>
      </c>
      <c r="D100" s="93" t="s">
        <v>94</v>
      </c>
      <c r="E100" s="97" t="s">
        <v>494</v>
      </c>
      <c r="F100" s="93" t="s">
        <v>44</v>
      </c>
      <c r="G100" s="93" t="s">
        <v>45</v>
      </c>
      <c r="H100" s="93" t="s">
        <v>124</v>
      </c>
      <c r="I100" s="93" t="s">
        <v>115</v>
      </c>
      <c r="J100" s="93" t="s">
        <v>124</v>
      </c>
      <c r="K100" s="93" t="s">
        <v>144</v>
      </c>
      <c r="L100" s="10" t="s">
        <v>35</v>
      </c>
      <c r="M100" s="10" t="s">
        <v>36</v>
      </c>
      <c r="N100" s="10" t="s">
        <v>37</v>
      </c>
      <c r="O100" s="10" t="s">
        <v>38</v>
      </c>
      <c r="P100" s="10" t="s">
        <v>39</v>
      </c>
      <c r="Q100" s="10" t="s">
        <v>40</v>
      </c>
      <c r="R100" s="10" t="s">
        <v>41</v>
      </c>
      <c r="Y100" s="10" t="s">
        <v>382</v>
      </c>
      <c r="AA100" s="74" t="str">
        <f t="shared" si="3"/>
        <v>?</v>
      </c>
    </row>
    <row r="101" ht="14.25" customHeight="1">
      <c r="A101" s="10" t="str">
        <f t="shared" si="5"/>
        <v>?utm_source=mktcloud&amp;utm_medium=emailmkt&amp;utm_campaign=##ApproachStart##-Acao-engajamento-boas-praticas-dual-chip_vivo_b2c_movel_institucional_movel_relacionamento&amp;utm_content=___&amp;utm_term=##IDPlay##_</v>
      </c>
      <c r="C101" s="93" t="s">
        <v>160</v>
      </c>
      <c r="D101" s="93" t="s">
        <v>94</v>
      </c>
      <c r="E101" s="97" t="s">
        <v>495</v>
      </c>
      <c r="F101" s="93" t="s">
        <v>44</v>
      </c>
      <c r="G101" s="93" t="s">
        <v>45</v>
      </c>
      <c r="H101" s="93" t="s">
        <v>124</v>
      </c>
      <c r="I101" s="93" t="s">
        <v>115</v>
      </c>
      <c r="J101" s="93" t="s">
        <v>124</v>
      </c>
      <c r="K101" s="93" t="s">
        <v>144</v>
      </c>
      <c r="L101" s="10" t="s">
        <v>35</v>
      </c>
      <c r="M101" s="10" t="s">
        <v>36</v>
      </c>
      <c r="N101" s="10" t="s">
        <v>37</v>
      </c>
      <c r="O101" s="10" t="s">
        <v>38</v>
      </c>
      <c r="P101" s="10" t="s">
        <v>39</v>
      </c>
      <c r="Q101" s="10" t="s">
        <v>40</v>
      </c>
      <c r="R101" s="10" t="s">
        <v>41</v>
      </c>
      <c r="Y101" s="10" t="s">
        <v>382</v>
      </c>
      <c r="AA101" s="74" t="str">
        <f t="shared" si="3"/>
        <v>?</v>
      </c>
    </row>
    <row r="102" ht="14.25" customHeight="1">
      <c r="A102" s="10" t="str">
        <f t="shared" si="5"/>
        <v>?utm_source=mktcloud&amp;utm_medium=emailmkt&amp;utm_campaign=##ApproachStart##-Acao-engajamento-boas-praticas-volte_vivo_b2c_movel_institucional_movel_relacionamento&amp;utm_content=___&amp;utm_term=##IDPlay##_</v>
      </c>
      <c r="C102" s="93" t="s">
        <v>160</v>
      </c>
      <c r="D102" s="93" t="s">
        <v>94</v>
      </c>
      <c r="E102" s="97" t="s">
        <v>496</v>
      </c>
      <c r="F102" s="93" t="s">
        <v>44</v>
      </c>
      <c r="G102" s="93" t="s">
        <v>45</v>
      </c>
      <c r="H102" s="93" t="s">
        <v>124</v>
      </c>
      <c r="I102" s="93" t="s">
        <v>115</v>
      </c>
      <c r="J102" s="93" t="s">
        <v>124</v>
      </c>
      <c r="K102" s="93" t="s">
        <v>144</v>
      </c>
      <c r="L102" s="10" t="s">
        <v>35</v>
      </c>
      <c r="M102" s="10" t="s">
        <v>36</v>
      </c>
      <c r="N102" s="10" t="s">
        <v>37</v>
      </c>
      <c r="O102" s="10" t="s">
        <v>38</v>
      </c>
      <c r="P102" s="10" t="s">
        <v>39</v>
      </c>
      <c r="Q102" s="10" t="s">
        <v>40</v>
      </c>
      <c r="R102" s="10" t="s">
        <v>41</v>
      </c>
      <c r="Y102" s="10" t="s">
        <v>382</v>
      </c>
      <c r="AA102" s="74" t="str">
        <f t="shared" si="3"/>
        <v>?</v>
      </c>
    </row>
    <row r="103" ht="14.25" customHeight="1">
      <c r="A103" s="10" t="str">
        <f t="shared" si="5"/>
        <v>?utm_source=mktcloud&amp;utm_medium=emailmkt&amp;utm_campaign=##ApproachStart##-Acao-engajamento-melhorias-4g_vivo_b2c_movel_institucional_movel_relacionamento&amp;utm_content=___&amp;utm_term=##IDPlay##_</v>
      </c>
      <c r="C103" s="93" t="s">
        <v>160</v>
      </c>
      <c r="D103" s="93" t="s">
        <v>94</v>
      </c>
      <c r="E103" s="97" t="s">
        <v>497</v>
      </c>
      <c r="F103" s="93" t="s">
        <v>44</v>
      </c>
      <c r="G103" s="93" t="s">
        <v>45</v>
      </c>
      <c r="H103" s="93" t="s">
        <v>124</v>
      </c>
      <c r="I103" s="93" t="s">
        <v>115</v>
      </c>
      <c r="J103" s="93" t="s">
        <v>124</v>
      </c>
      <c r="K103" s="93" t="s">
        <v>144</v>
      </c>
      <c r="L103" s="10" t="s">
        <v>35</v>
      </c>
      <c r="M103" s="10" t="s">
        <v>36</v>
      </c>
      <c r="N103" s="10" t="s">
        <v>37</v>
      </c>
      <c r="O103" s="10" t="s">
        <v>38</v>
      </c>
      <c r="P103" s="10" t="s">
        <v>39</v>
      </c>
      <c r="Q103" s="10" t="s">
        <v>40</v>
      </c>
      <c r="R103" s="10" t="s">
        <v>41</v>
      </c>
      <c r="Y103" s="10" t="s">
        <v>382</v>
      </c>
      <c r="AA103" s="74" t="str">
        <f t="shared" si="3"/>
        <v>?</v>
      </c>
    </row>
    <row r="104" ht="14.25" customHeight="1">
      <c r="A104" s="91" t="str">
        <f t="shared" si="5"/>
        <v>vivo.com.br?utm_source=mktcloud&amp;utm_medium=emailmkt&amp;utm_campaign=##ApproachStart##-Traking-pedido-up-down-pos-selfie_vivo_b2c_movel_controle_vivo-controle_relacionamento&amp;utm_content=___&amp;utm_term=##IDPlay##_</v>
      </c>
      <c r="B104" s="99" t="s">
        <v>498</v>
      </c>
      <c r="C104" s="10" t="s">
        <v>160</v>
      </c>
      <c r="D104" s="10" t="s">
        <v>94</v>
      </c>
      <c r="E104" s="97" t="s">
        <v>499</v>
      </c>
      <c r="F104" s="10" t="s">
        <v>44</v>
      </c>
      <c r="G104" s="10" t="s">
        <v>45</v>
      </c>
      <c r="H104" s="10" t="s">
        <v>124</v>
      </c>
      <c r="I104" s="10" t="s">
        <v>66</v>
      </c>
      <c r="J104" s="10" t="s">
        <v>255</v>
      </c>
      <c r="K104" s="10" t="s">
        <v>144</v>
      </c>
      <c r="L104" s="10" t="s">
        <v>35</v>
      </c>
      <c r="M104" s="10" t="s">
        <v>36</v>
      </c>
      <c r="N104" s="10" t="s">
        <v>37</v>
      </c>
      <c r="O104" s="10" t="s">
        <v>38</v>
      </c>
      <c r="P104" s="10" t="s">
        <v>39</v>
      </c>
      <c r="Q104" s="10" t="s">
        <v>40</v>
      </c>
      <c r="R104" s="10" t="s">
        <v>41</v>
      </c>
      <c r="Y104" s="10" t="s">
        <v>382</v>
      </c>
      <c r="AA104" s="74" t="str">
        <f t="shared" si="3"/>
        <v>?</v>
      </c>
    </row>
    <row r="105" ht="14.25" customHeight="1">
      <c r="A105" s="10" t="str">
        <f t="shared" si="5"/>
        <v>?utm_source=mktcloud&amp;utm_medium=emailmkt&amp;utm_campaign=##ApproachStart##-Nova-loja-shopping-patio-batel_vivo_b2c_institucional_institucional_duo_relacionamento&amp;utm_content=___&amp;utm_term=##IDPlay##_</v>
      </c>
      <c r="C105" s="10" t="s">
        <v>160</v>
      </c>
      <c r="D105" s="10" t="s">
        <v>94</v>
      </c>
      <c r="E105" s="97" t="s">
        <v>500</v>
      </c>
      <c r="F105" s="10" t="s">
        <v>44</v>
      </c>
      <c r="G105" s="10" t="s">
        <v>45</v>
      </c>
      <c r="H105" s="10" t="s">
        <v>115</v>
      </c>
      <c r="I105" s="10" t="s">
        <v>115</v>
      </c>
      <c r="J105" s="10" t="s">
        <v>143</v>
      </c>
      <c r="K105" s="10" t="s">
        <v>144</v>
      </c>
      <c r="L105" s="10" t="s">
        <v>35</v>
      </c>
      <c r="M105" s="10" t="s">
        <v>36</v>
      </c>
      <c r="N105" s="10" t="s">
        <v>37</v>
      </c>
      <c r="O105" s="10" t="s">
        <v>38</v>
      </c>
      <c r="P105" s="10" t="s">
        <v>39</v>
      </c>
      <c r="Q105" s="10" t="s">
        <v>40</v>
      </c>
      <c r="R105" s="10" t="s">
        <v>41</v>
      </c>
      <c r="Y105" s="10" t="s">
        <v>382</v>
      </c>
      <c r="AA105" s="74" t="str">
        <f t="shared" si="3"/>
        <v>?</v>
      </c>
    </row>
    <row r="106" ht="14.25" customHeight="1">
      <c r="A106" s="10" t="str">
        <f t="shared" si="5"/>
        <v>?utm_source=mktcloud&amp;utm_medium=emailmkt&amp;utm_campaign=##ApproachStart##-Paramount-destaques-setembro-2_vivo_b2c_movel_none_duo_oferta&amp;utm_content=___&amp;utm_term=##IDPlay##_</v>
      </c>
      <c r="C106" s="10" t="s">
        <v>160</v>
      </c>
      <c r="D106" s="10" t="s">
        <v>94</v>
      </c>
      <c r="E106" s="93" t="s">
        <v>501</v>
      </c>
      <c r="F106" s="10" t="s">
        <v>44</v>
      </c>
      <c r="G106" s="10" t="s">
        <v>45</v>
      </c>
      <c r="H106" s="93" t="s">
        <v>124</v>
      </c>
      <c r="I106" s="93" t="s">
        <v>168</v>
      </c>
      <c r="J106" s="10" t="s">
        <v>143</v>
      </c>
      <c r="K106" s="10" t="s">
        <v>117</v>
      </c>
      <c r="L106" s="10" t="s">
        <v>35</v>
      </c>
      <c r="M106" s="10" t="s">
        <v>36</v>
      </c>
      <c r="N106" s="10" t="s">
        <v>37</v>
      </c>
      <c r="O106" s="10" t="s">
        <v>38</v>
      </c>
      <c r="P106" s="10" t="s">
        <v>39</v>
      </c>
      <c r="Q106" s="10" t="s">
        <v>40</v>
      </c>
      <c r="R106" s="10" t="s">
        <v>41</v>
      </c>
      <c r="Y106" s="10" t="s">
        <v>382</v>
      </c>
      <c r="AA106" s="74" t="str">
        <f t="shared" si="3"/>
        <v>?</v>
      </c>
    </row>
    <row r="107" ht="14.25" customHeight="1">
      <c r="A107" s="91" t="str">
        <f t="shared" si="5"/>
        <v>https://vivo.tl/vel?utm_source=mktcloud&amp;utm_medium=emailmkt&amp;utm_campaign=##ApproachStart##-Acao-blindagem-disney-plus_vivo_b2c_fixa_internet-fixa_fixa_relacionamento&amp;utm_content=___&amp;utm_term=##IDPlay##_</v>
      </c>
      <c r="B107" s="100" t="s">
        <v>502</v>
      </c>
      <c r="C107" s="10" t="s">
        <v>160</v>
      </c>
      <c r="D107" s="10" t="s">
        <v>94</v>
      </c>
      <c r="E107" s="93" t="s">
        <v>503</v>
      </c>
      <c r="F107" s="93" t="s">
        <v>44</v>
      </c>
      <c r="G107" s="93" t="s">
        <v>45</v>
      </c>
      <c r="H107" s="93" t="s">
        <v>108</v>
      </c>
      <c r="I107" s="93" t="s">
        <v>229</v>
      </c>
      <c r="J107" s="93" t="s">
        <v>108</v>
      </c>
      <c r="K107" s="93" t="s">
        <v>144</v>
      </c>
      <c r="L107" s="10" t="s">
        <v>35</v>
      </c>
      <c r="M107" s="10" t="s">
        <v>36</v>
      </c>
      <c r="N107" s="10" t="s">
        <v>37</v>
      </c>
      <c r="O107" s="10" t="s">
        <v>38</v>
      </c>
      <c r="P107" s="10" t="s">
        <v>39</v>
      </c>
      <c r="Q107" s="10" t="s">
        <v>40</v>
      </c>
      <c r="R107" s="10" t="s">
        <v>41</v>
      </c>
      <c r="Y107" s="10" t="s">
        <v>382</v>
      </c>
      <c r="AA107" s="74" t="str">
        <f t="shared" si="3"/>
        <v>?</v>
      </c>
    </row>
    <row r="108" ht="14.25" customHeight="1">
      <c r="A108" s="91" t="str">
        <f t="shared" si="5"/>
        <v>https://appstore.vivo.com.br/sc/br/vivostore/detalle/telecine/62647/2046?utm_source=mktcloud&amp;utm_medium=emailmkt&amp;utm_campaign=##ApproachStart##-Telecine-Oferta-50-desconto-movel_vivo_b2c_movel_none_telecine_oferta&amp;utm_content=___&amp;utm_term=##IDPlay##_</v>
      </c>
      <c r="B108" s="95" t="s">
        <v>504</v>
      </c>
      <c r="C108" s="10" t="s">
        <v>160</v>
      </c>
      <c r="D108" s="10" t="s">
        <v>94</v>
      </c>
      <c r="E108" s="93" t="s">
        <v>505</v>
      </c>
      <c r="F108" s="93" t="s">
        <v>44</v>
      </c>
      <c r="G108" s="93" t="s">
        <v>45</v>
      </c>
      <c r="H108" s="93" t="s">
        <v>124</v>
      </c>
      <c r="I108" s="93" t="s">
        <v>168</v>
      </c>
      <c r="J108" s="93" t="s">
        <v>247</v>
      </c>
      <c r="K108" s="93" t="s">
        <v>117</v>
      </c>
      <c r="L108" s="10" t="s">
        <v>35</v>
      </c>
      <c r="M108" s="10" t="s">
        <v>36</v>
      </c>
      <c r="N108" s="10" t="s">
        <v>37</v>
      </c>
      <c r="O108" s="10" t="s">
        <v>38</v>
      </c>
      <c r="P108" s="10" t="s">
        <v>39</v>
      </c>
      <c r="Q108" s="10" t="s">
        <v>40</v>
      </c>
      <c r="R108" s="10" t="s">
        <v>41</v>
      </c>
      <c r="Y108" s="10" t="s">
        <v>382</v>
      </c>
      <c r="AA108" s="74" t="str">
        <f t="shared" si="3"/>
        <v>?</v>
      </c>
    </row>
    <row r="109" ht="14.25" customHeight="1">
      <c r="A109" s="91" t="str">
        <f t="shared" si="5"/>
        <v>https://www.vivo.com.br/para-voce/produtos-e-servicos/para-casa/internet/planos-de-internet-vivo-fibra/apps-de-conteudo/telecine?utm_source=mktcloud&amp;utm_medium=emailmkt&amp;utm_campaign=##ApproachStart##-Telecine-Oferta-50-desconto-fixa_vivo_b2c_fixa_none_telecine_oferta&amp;utm_content=___&amp;utm_term=##IDPlay##_</v>
      </c>
      <c r="B109" s="94" t="s">
        <v>506</v>
      </c>
      <c r="C109" s="10" t="s">
        <v>160</v>
      </c>
      <c r="D109" s="10" t="s">
        <v>94</v>
      </c>
      <c r="E109" s="93" t="s">
        <v>507</v>
      </c>
      <c r="F109" s="93" t="s">
        <v>44</v>
      </c>
      <c r="G109" s="93" t="s">
        <v>45</v>
      </c>
      <c r="H109" s="93" t="s">
        <v>108</v>
      </c>
      <c r="I109" s="93" t="s">
        <v>168</v>
      </c>
      <c r="J109" s="93" t="s">
        <v>247</v>
      </c>
      <c r="K109" s="93" t="s">
        <v>117</v>
      </c>
      <c r="L109" s="10" t="s">
        <v>35</v>
      </c>
      <c r="M109" s="10" t="s">
        <v>36</v>
      </c>
      <c r="N109" s="10" t="s">
        <v>37</v>
      </c>
      <c r="O109" s="10" t="s">
        <v>38</v>
      </c>
      <c r="P109" s="10" t="s">
        <v>39</v>
      </c>
      <c r="Q109" s="10" t="s">
        <v>40</v>
      </c>
      <c r="R109" s="10" t="s">
        <v>41</v>
      </c>
      <c r="Y109" s="10" t="s">
        <v>382</v>
      </c>
      <c r="AA109" s="74" t="str">
        <f t="shared" si="3"/>
        <v>?</v>
      </c>
    </row>
    <row r="110" ht="14.25" customHeight="1">
      <c r="A110" s="10" t="str">
        <f t="shared" si="5"/>
        <v>?utm_source=mktcloud&amp;utm_medium=emailmkt&amp;utm_campaign=##ApproachStart##-Estadio-TNT-sports-palmeiras-juventude_vivo_b2c_servicosdigitais_servicosdigitais_fixa_relacionamento&amp;utm_content=___&amp;utm_term=##IDPlay##_</v>
      </c>
      <c r="C110" s="93" t="s">
        <v>160</v>
      </c>
      <c r="D110" s="93" t="s">
        <v>94</v>
      </c>
      <c r="E110" s="97" t="s">
        <v>508</v>
      </c>
      <c r="F110" s="93" t="s">
        <v>44</v>
      </c>
      <c r="G110" s="93" t="s">
        <v>45</v>
      </c>
      <c r="H110" s="93" t="s">
        <v>141</v>
      </c>
      <c r="I110" s="93" t="s">
        <v>141</v>
      </c>
      <c r="J110" s="93" t="s">
        <v>108</v>
      </c>
      <c r="K110" s="93" t="s">
        <v>144</v>
      </c>
      <c r="L110" s="10" t="s">
        <v>35</v>
      </c>
      <c r="M110" s="10" t="s">
        <v>36</v>
      </c>
      <c r="N110" s="10" t="s">
        <v>37</v>
      </c>
      <c r="O110" s="10" t="s">
        <v>38</v>
      </c>
      <c r="P110" s="10" t="s">
        <v>39</v>
      </c>
      <c r="Q110" s="10" t="s">
        <v>40</v>
      </c>
      <c r="R110" s="10" t="s">
        <v>41</v>
      </c>
      <c r="Y110" s="10" t="s">
        <v>382</v>
      </c>
      <c r="AA110" s="74" t="str">
        <f t="shared" si="3"/>
        <v>?</v>
      </c>
    </row>
    <row r="111" ht="14.25" customHeight="1">
      <c r="A111" s="91" t="str">
        <f>B111&amp;AA111&amp;"utm_source="&amp;C111&amp;"&amp;"&amp;"utm_medium="&amp;D111&amp;"&amp;"&amp;"utm_campaign="&amp;E111&amp;"_"&amp;F111&amp;"_"&amp;G111&amp;"_"&amp;H111&amp;"_"&amp;I111&amp;"_"&amp;J111&amp;"_"&amp;K111&amp;"&amp;"&amp;"utm_content="&amp;U112&amp;"_"&amp;V111&amp;"_"&amp;W111&amp;"_"&amp;X111&amp;"&amp;"&amp;"utm_term="&amp;Y111&amp;"_"&amp;Z111</f>
        <v>https://www.vivo.com.br/para-voce/ajuda/mais-ajuda/encontre-uma-loja?utm_source=mktcloud&amp;utm_medium=emailmkt&amp;utm_campaign=##ApproachStart##-Smart-ofertas-controle-1609-2209_vivo_b2c_ecommerce_terminais_smart-ofertas_oferta&amp;utm_content=CTA1___&amp;utm_term=##IDPlay##_</v>
      </c>
      <c r="B111" s="94" t="s">
        <v>449</v>
      </c>
      <c r="C111" s="10" t="s">
        <v>160</v>
      </c>
      <c r="D111" s="10" t="s">
        <v>94</v>
      </c>
      <c r="E111" s="93" t="s">
        <v>509</v>
      </c>
      <c r="F111" s="93" t="s">
        <v>44</v>
      </c>
      <c r="G111" s="93" t="s">
        <v>45</v>
      </c>
      <c r="H111" s="93" t="s">
        <v>95</v>
      </c>
      <c r="I111" s="93" t="s">
        <v>189</v>
      </c>
      <c r="J111" s="93" t="s">
        <v>243</v>
      </c>
      <c r="K111" s="93" t="s">
        <v>117</v>
      </c>
      <c r="L111" s="10" t="s">
        <v>35</v>
      </c>
      <c r="M111" s="10" t="s">
        <v>36</v>
      </c>
      <c r="N111" s="10" t="s">
        <v>37</v>
      </c>
      <c r="O111" s="10" t="s">
        <v>38</v>
      </c>
      <c r="P111" s="10" t="s">
        <v>39</v>
      </c>
      <c r="Q111" s="10" t="s">
        <v>40</v>
      </c>
      <c r="R111" s="10" t="s">
        <v>41</v>
      </c>
      <c r="Y111" s="10" t="s">
        <v>382</v>
      </c>
      <c r="AA111" s="74" t="str">
        <f t="shared" si="3"/>
        <v>?</v>
      </c>
    </row>
    <row r="112" ht="14.25" customHeight="1">
      <c r="A112" s="91" t="str">
        <f t="shared" ref="A112:A137" si="6">B112&amp;AA112&amp;"utm_source="&amp;C112&amp;"&amp;"&amp;"utm_medium="&amp;D112&amp;"&amp;"&amp;"utm_campaign="&amp;E112&amp;"_"&amp;F112&amp;"_"&amp;G112&amp;"_"&amp;H112&amp;"_"&amp;I112&amp;"_"&amp;J112&amp;"_"&amp;K112&amp;"&amp;"&amp;"utm_content="&amp;U112&amp;"_"&amp;V112&amp;"_"&amp;W112&amp;"_"&amp;X112&amp;"&amp;"&amp;"utm_term="&amp;Y112&amp;"_"&amp;Z112</f>
        <v>http://lojaonline.vivo.com.br/vivostorefront/campaign?identifier=MOTO_E7_PLUS_CONTROLE&amp;utm_source=mktcloud&amp;utm_medium=emailmkt&amp;utm_campaign=##ApproachStart##-Smart-ofertas-controle-1609-2209_vivo_b2c_ecommerce_terminais_smart-ofertas_oferta&amp;utm_content=CTA1___&amp;utm_term=##IDPlay##_</v>
      </c>
      <c r="B112" s="92" t="s">
        <v>510</v>
      </c>
      <c r="C112" s="10" t="s">
        <v>160</v>
      </c>
      <c r="D112" s="10" t="s">
        <v>94</v>
      </c>
      <c r="E112" s="93" t="s">
        <v>509</v>
      </c>
      <c r="F112" s="93" t="s">
        <v>44</v>
      </c>
      <c r="G112" s="93" t="s">
        <v>45</v>
      </c>
      <c r="H112" s="93" t="s">
        <v>95</v>
      </c>
      <c r="I112" s="93" t="s">
        <v>189</v>
      </c>
      <c r="J112" s="93" t="s">
        <v>243</v>
      </c>
      <c r="K112" s="93" t="s">
        <v>117</v>
      </c>
      <c r="L112" s="10" t="s">
        <v>35</v>
      </c>
      <c r="M112" s="10" t="s">
        <v>36</v>
      </c>
      <c r="N112" s="10" t="s">
        <v>37</v>
      </c>
      <c r="O112" s="10" t="s">
        <v>38</v>
      </c>
      <c r="P112" s="10" t="s">
        <v>39</v>
      </c>
      <c r="Q112" s="10" t="s">
        <v>40</v>
      </c>
      <c r="R112" s="10" t="s">
        <v>41</v>
      </c>
      <c r="U112" s="93" t="s">
        <v>387</v>
      </c>
      <c r="Y112" s="10" t="s">
        <v>382</v>
      </c>
      <c r="AA112" s="74" t="str">
        <f t="shared" si="3"/>
        <v>&amp;</v>
      </c>
    </row>
    <row r="113" ht="14.25" customHeight="1">
      <c r="A113" s="91" t="str">
        <f t="shared" si="6"/>
        <v>http://lojaonline.vivo.com.br/vivostorefront/campaign?identifier=Nokia24_Controle&amp;utm_source=mktcloud&amp;utm_medium=emailmkt&amp;utm_campaign=##ApproachStart##-Smart-ofertas-controle-1609-2209_vivo_b2c_ecommerce_terminais_smart-ofertas_oferta&amp;utm_content=CTA2___&amp;utm_term=##IDPlay##_</v>
      </c>
      <c r="B113" s="92" t="s">
        <v>511</v>
      </c>
      <c r="C113" s="10" t="s">
        <v>160</v>
      </c>
      <c r="D113" s="10" t="s">
        <v>94</v>
      </c>
      <c r="E113" s="93" t="s">
        <v>509</v>
      </c>
      <c r="F113" s="93" t="s">
        <v>44</v>
      </c>
      <c r="G113" s="93" t="s">
        <v>45</v>
      </c>
      <c r="H113" s="93" t="s">
        <v>95</v>
      </c>
      <c r="I113" s="93" t="s">
        <v>189</v>
      </c>
      <c r="J113" s="93" t="s">
        <v>243</v>
      </c>
      <c r="K113" s="93" t="s">
        <v>117</v>
      </c>
      <c r="L113" s="10" t="s">
        <v>35</v>
      </c>
      <c r="M113" s="10" t="s">
        <v>36</v>
      </c>
      <c r="N113" s="10" t="s">
        <v>37</v>
      </c>
      <c r="O113" s="10" t="s">
        <v>38</v>
      </c>
      <c r="P113" s="10" t="s">
        <v>39</v>
      </c>
      <c r="Q113" s="10" t="s">
        <v>40</v>
      </c>
      <c r="R113" s="10" t="s">
        <v>41</v>
      </c>
      <c r="U113" s="93" t="s">
        <v>393</v>
      </c>
      <c r="Y113" s="10" t="s">
        <v>382</v>
      </c>
      <c r="AA113" s="74" t="str">
        <f t="shared" si="3"/>
        <v>&amp;</v>
      </c>
    </row>
    <row r="114" ht="14.25" customHeight="1">
      <c r="A114" s="91" t="str">
        <f t="shared" si="6"/>
        <v>https://lojaonline.vivo.com.br/vivostorefront/p/22019068?utm_source=mktcloud&amp;utm_medium=emailmkt&amp;utm_campaign=##ApproachStart##-Smart-ofertas-controle-1609-2209_vivo_b2c_ecommerce_terminais_smart-ofertas_oferta&amp;utm_content=CTA3___&amp;utm_term=##IDPlay##_</v>
      </c>
      <c r="B114" s="92" t="s">
        <v>512</v>
      </c>
      <c r="C114" s="10" t="s">
        <v>160</v>
      </c>
      <c r="D114" s="10" t="s">
        <v>94</v>
      </c>
      <c r="E114" s="93" t="s">
        <v>509</v>
      </c>
      <c r="F114" s="93" t="s">
        <v>44</v>
      </c>
      <c r="G114" s="93" t="s">
        <v>45</v>
      </c>
      <c r="H114" s="93" t="s">
        <v>95</v>
      </c>
      <c r="I114" s="93" t="s">
        <v>189</v>
      </c>
      <c r="J114" s="93" t="s">
        <v>243</v>
      </c>
      <c r="K114" s="93" t="s">
        <v>117</v>
      </c>
      <c r="L114" s="10" t="s">
        <v>35</v>
      </c>
      <c r="M114" s="10" t="s">
        <v>36</v>
      </c>
      <c r="N114" s="10" t="s">
        <v>37</v>
      </c>
      <c r="O114" s="10" t="s">
        <v>38</v>
      </c>
      <c r="P114" s="10" t="s">
        <v>39</v>
      </c>
      <c r="Q114" s="10" t="s">
        <v>40</v>
      </c>
      <c r="R114" s="10" t="s">
        <v>41</v>
      </c>
      <c r="U114" s="93" t="s">
        <v>395</v>
      </c>
      <c r="Y114" s="10" t="s">
        <v>382</v>
      </c>
      <c r="AA114" s="74" t="str">
        <f t="shared" si="3"/>
        <v>?</v>
      </c>
    </row>
    <row r="115" ht="14.25" customHeight="1">
      <c r="A115" s="91" t="str">
        <f t="shared" si="6"/>
        <v>https://lojaonline.vivo.com.br/vivostorefront/p/22019556?utm_source=mktcloud&amp;utm_medium=emailmkt&amp;utm_campaign=##ApproachStart##-Smart-ofertas-controle-1609-2209_vivo_b2c_ecommerce_terminais_smart-ofertas_oferta&amp;utm_content=CTA4___&amp;utm_term=##IDPlay##_</v>
      </c>
      <c r="B115" s="92" t="s">
        <v>513</v>
      </c>
      <c r="C115" s="10" t="s">
        <v>160</v>
      </c>
      <c r="D115" s="10" t="s">
        <v>94</v>
      </c>
      <c r="E115" s="93" t="s">
        <v>509</v>
      </c>
      <c r="F115" s="93" t="s">
        <v>44</v>
      </c>
      <c r="G115" s="93" t="s">
        <v>45</v>
      </c>
      <c r="H115" s="93" t="s">
        <v>95</v>
      </c>
      <c r="I115" s="93" t="s">
        <v>189</v>
      </c>
      <c r="J115" s="93" t="s">
        <v>243</v>
      </c>
      <c r="K115" s="93" t="s">
        <v>117</v>
      </c>
      <c r="L115" s="10" t="s">
        <v>35</v>
      </c>
      <c r="M115" s="10" t="s">
        <v>36</v>
      </c>
      <c r="N115" s="10" t="s">
        <v>37</v>
      </c>
      <c r="O115" s="10" t="s">
        <v>38</v>
      </c>
      <c r="P115" s="10" t="s">
        <v>39</v>
      </c>
      <c r="Q115" s="10" t="s">
        <v>40</v>
      </c>
      <c r="R115" s="10" t="s">
        <v>41</v>
      </c>
      <c r="U115" s="93" t="s">
        <v>397</v>
      </c>
      <c r="Y115" s="10" t="s">
        <v>382</v>
      </c>
      <c r="AA115" s="74" t="str">
        <f t="shared" si="3"/>
        <v>?</v>
      </c>
    </row>
    <row r="116" ht="14.25" customHeight="1">
      <c r="A116" s="91" t="str">
        <f t="shared" si="6"/>
        <v>https://lojaonline.vivo.com.br/vivostorefront/p/22019665?utm_source=mktcloud&amp;utm_medium=emailmkt&amp;utm_campaign=##ApproachStart##-Smart-ofertas-controle-1609-2209_vivo_b2c_ecommerce_terminais_smart-ofertas_oferta&amp;utm_content=CTA5___&amp;utm_term=##IDPlay##_</v>
      </c>
      <c r="B116" s="92" t="s">
        <v>514</v>
      </c>
      <c r="C116" s="10" t="s">
        <v>160</v>
      </c>
      <c r="D116" s="10" t="s">
        <v>94</v>
      </c>
      <c r="E116" s="93" t="s">
        <v>509</v>
      </c>
      <c r="F116" s="93" t="s">
        <v>44</v>
      </c>
      <c r="G116" s="93" t="s">
        <v>45</v>
      </c>
      <c r="H116" s="93" t="s">
        <v>95</v>
      </c>
      <c r="I116" s="93" t="s">
        <v>189</v>
      </c>
      <c r="J116" s="93" t="s">
        <v>243</v>
      </c>
      <c r="K116" s="93" t="s">
        <v>117</v>
      </c>
      <c r="L116" s="10" t="s">
        <v>35</v>
      </c>
      <c r="M116" s="10" t="s">
        <v>36</v>
      </c>
      <c r="N116" s="10" t="s">
        <v>37</v>
      </c>
      <c r="O116" s="10" t="s">
        <v>38</v>
      </c>
      <c r="P116" s="10" t="s">
        <v>39</v>
      </c>
      <c r="Q116" s="10" t="s">
        <v>40</v>
      </c>
      <c r="R116" s="10" t="s">
        <v>41</v>
      </c>
      <c r="U116" s="93" t="s">
        <v>399</v>
      </c>
      <c r="Y116" s="10" t="s">
        <v>382</v>
      </c>
      <c r="AA116" s="74" t="str">
        <f t="shared" si="3"/>
        <v>?</v>
      </c>
    </row>
    <row r="117" ht="14.25" customHeight="1">
      <c r="A117" s="91" t="str">
        <f t="shared" si="6"/>
        <v>https://lojaonline.vivo.com.br/vivostorefront/p/22019635?utm_source=mktcloud&amp;utm_medium=emailmkt&amp;utm_campaign=##ApproachStart##-Smart-ofertas-controle-1609-2209_vivo_b2c_ecommerce_terminais_smart-ofertas_oferta&amp;utm_content=CTA6___&amp;utm_term=##IDPlay##_</v>
      </c>
      <c r="B117" s="92" t="s">
        <v>515</v>
      </c>
      <c r="C117" s="10" t="s">
        <v>160</v>
      </c>
      <c r="D117" s="10" t="s">
        <v>94</v>
      </c>
      <c r="E117" s="93" t="s">
        <v>509</v>
      </c>
      <c r="F117" s="93" t="s">
        <v>44</v>
      </c>
      <c r="G117" s="93" t="s">
        <v>45</v>
      </c>
      <c r="H117" s="93" t="s">
        <v>95</v>
      </c>
      <c r="I117" s="93" t="s">
        <v>189</v>
      </c>
      <c r="J117" s="93" t="s">
        <v>243</v>
      </c>
      <c r="K117" s="93" t="s">
        <v>117</v>
      </c>
      <c r="L117" s="10" t="s">
        <v>35</v>
      </c>
      <c r="M117" s="10" t="s">
        <v>36</v>
      </c>
      <c r="N117" s="10" t="s">
        <v>37</v>
      </c>
      <c r="O117" s="10" t="s">
        <v>38</v>
      </c>
      <c r="P117" s="10" t="s">
        <v>39</v>
      </c>
      <c r="Q117" s="10" t="s">
        <v>40</v>
      </c>
      <c r="R117" s="10" t="s">
        <v>41</v>
      </c>
      <c r="U117" s="93" t="s">
        <v>401</v>
      </c>
      <c r="Y117" s="10" t="s">
        <v>382</v>
      </c>
      <c r="AA117" s="74" t="str">
        <f t="shared" si="3"/>
        <v>?</v>
      </c>
    </row>
    <row r="118" ht="14.25" customHeight="1">
      <c r="A118" s="91" t="str">
        <f t="shared" si="6"/>
        <v>https://www.vivo.com.br/para-voce/ajuda/mais-ajuda/encontre-uma-loja?utm_source=mktcloud&amp;utm_medium=emailmkt&amp;utm_campaign=##ApproachStart##-Smart-ofertas-pos-1609-2209_vivo_b2c_ecommerce_terminais_smart-ofertas_oferta&amp;utm_content=___&amp;utm_term=##IDPlay##_</v>
      </c>
      <c r="B118" s="94" t="s">
        <v>449</v>
      </c>
      <c r="C118" s="10" t="s">
        <v>160</v>
      </c>
      <c r="D118" s="10" t="s">
        <v>94</v>
      </c>
      <c r="E118" s="93" t="s">
        <v>516</v>
      </c>
      <c r="F118" s="93" t="s">
        <v>44</v>
      </c>
      <c r="G118" s="93" t="s">
        <v>45</v>
      </c>
      <c r="H118" s="93" t="s">
        <v>95</v>
      </c>
      <c r="I118" s="93" t="s">
        <v>189</v>
      </c>
      <c r="J118" s="93" t="s">
        <v>243</v>
      </c>
      <c r="K118" s="93" t="s">
        <v>117</v>
      </c>
      <c r="L118" s="10" t="s">
        <v>35</v>
      </c>
      <c r="M118" s="10" t="s">
        <v>36</v>
      </c>
      <c r="N118" s="10" t="s">
        <v>37</v>
      </c>
      <c r="O118" s="10" t="s">
        <v>38</v>
      </c>
      <c r="P118" s="10" t="s">
        <v>39</v>
      </c>
      <c r="Q118" s="10" t="s">
        <v>40</v>
      </c>
      <c r="R118" s="10" t="s">
        <v>41</v>
      </c>
      <c r="Y118" s="10" t="s">
        <v>382</v>
      </c>
      <c r="AA118" s="74" t="str">
        <f t="shared" si="3"/>
        <v>?</v>
      </c>
    </row>
    <row r="119" ht="14.25" customHeight="1">
      <c r="A119" s="91" t="str">
        <f t="shared" si="6"/>
        <v>http://lojaonline.vivo.com.br/vivostorefront/campaign?identifier=nokia54&amp;utm_source=mktcloud&amp;utm_medium=emailmkt&amp;utm_campaign=##ApproachStart##-Smart-ofertas-pos-1609-2209_vivo_b2c_ecommerce_terminais_smart-ofertas_oferta&amp;utm_content=CTA1___&amp;utm_term=##IDPlay##_</v>
      </c>
      <c r="B119" s="92" t="s">
        <v>464</v>
      </c>
      <c r="C119" s="10" t="s">
        <v>160</v>
      </c>
      <c r="D119" s="10" t="s">
        <v>94</v>
      </c>
      <c r="E119" s="93" t="s">
        <v>516</v>
      </c>
      <c r="F119" s="93" t="s">
        <v>44</v>
      </c>
      <c r="G119" s="93" t="s">
        <v>45</v>
      </c>
      <c r="H119" s="93" t="s">
        <v>95</v>
      </c>
      <c r="I119" s="93" t="s">
        <v>189</v>
      </c>
      <c r="J119" s="93" t="s">
        <v>243</v>
      </c>
      <c r="K119" s="93" t="s">
        <v>117</v>
      </c>
      <c r="L119" s="10" t="s">
        <v>35</v>
      </c>
      <c r="M119" s="10" t="s">
        <v>36</v>
      </c>
      <c r="N119" s="10" t="s">
        <v>37</v>
      </c>
      <c r="O119" s="10" t="s">
        <v>38</v>
      </c>
      <c r="P119" s="10" t="s">
        <v>39</v>
      </c>
      <c r="Q119" s="10" t="s">
        <v>40</v>
      </c>
      <c r="R119" s="10" t="s">
        <v>41</v>
      </c>
      <c r="U119" s="93" t="s">
        <v>387</v>
      </c>
      <c r="Y119" s="10" t="s">
        <v>382</v>
      </c>
      <c r="AA119" s="74" t="str">
        <f t="shared" si="3"/>
        <v>&amp;</v>
      </c>
    </row>
    <row r="120" ht="14.25" customHeight="1">
      <c r="A120" s="91" t="str">
        <f t="shared" si="6"/>
        <v>http://lojaonline.vivo.com.br/vivostorefront/campaign?identifier=s21-Ultra-60fam&amp;utm_source=mktcloud&amp;utm_medium=emailmkt&amp;utm_campaign=##ApproachStart##-Smart-ofertas-pos-1609-2209_vivo_b2c_ecommerce_terminais_smart-ofertas_oferta&amp;utm_content=CTA2___&amp;utm_term=##IDPlay##_</v>
      </c>
      <c r="B120" s="92" t="s">
        <v>517</v>
      </c>
      <c r="C120" s="10" t="s">
        <v>160</v>
      </c>
      <c r="D120" s="10" t="s">
        <v>94</v>
      </c>
      <c r="E120" s="93" t="s">
        <v>516</v>
      </c>
      <c r="F120" s="93" t="s">
        <v>44</v>
      </c>
      <c r="G120" s="93" t="s">
        <v>45</v>
      </c>
      <c r="H120" s="93" t="s">
        <v>95</v>
      </c>
      <c r="I120" s="93" t="s">
        <v>189</v>
      </c>
      <c r="J120" s="93" t="s">
        <v>243</v>
      </c>
      <c r="K120" s="93" t="s">
        <v>117</v>
      </c>
      <c r="L120" s="10" t="s">
        <v>35</v>
      </c>
      <c r="M120" s="10" t="s">
        <v>36</v>
      </c>
      <c r="N120" s="10" t="s">
        <v>37</v>
      </c>
      <c r="O120" s="10" t="s">
        <v>38</v>
      </c>
      <c r="P120" s="10" t="s">
        <v>39</v>
      </c>
      <c r="Q120" s="10" t="s">
        <v>40</v>
      </c>
      <c r="R120" s="10" t="s">
        <v>41</v>
      </c>
      <c r="U120" s="93" t="s">
        <v>393</v>
      </c>
      <c r="Y120" s="10" t="s">
        <v>382</v>
      </c>
      <c r="AA120" s="74" t="str">
        <f t="shared" si="3"/>
        <v>&amp;</v>
      </c>
    </row>
    <row r="121" ht="14.25" customHeight="1">
      <c r="A121" s="91" t="str">
        <f t="shared" si="6"/>
        <v>https://lojaonline.vivo.com.br/vivostorefront/p/22019807?utm_source=mktcloud&amp;utm_medium=emailmkt&amp;utm_campaign=##ApproachStart##-Smart-ofertas-pos-1609-2209_vivo_b2c_ecommerce_terminais_smart-ofertas_oferta&amp;utm_content=CTA3___&amp;utm_term=##IDPlay##_</v>
      </c>
      <c r="B121" s="92" t="s">
        <v>518</v>
      </c>
      <c r="C121" s="10" t="s">
        <v>160</v>
      </c>
      <c r="D121" s="10" t="s">
        <v>94</v>
      </c>
      <c r="E121" s="93" t="s">
        <v>516</v>
      </c>
      <c r="F121" s="93" t="s">
        <v>44</v>
      </c>
      <c r="G121" s="93" t="s">
        <v>45</v>
      </c>
      <c r="H121" s="93" t="s">
        <v>95</v>
      </c>
      <c r="I121" s="93" t="s">
        <v>189</v>
      </c>
      <c r="J121" s="93" t="s">
        <v>243</v>
      </c>
      <c r="K121" s="93" t="s">
        <v>117</v>
      </c>
      <c r="L121" s="10" t="s">
        <v>35</v>
      </c>
      <c r="M121" s="10" t="s">
        <v>36</v>
      </c>
      <c r="N121" s="10" t="s">
        <v>37</v>
      </c>
      <c r="O121" s="10" t="s">
        <v>38</v>
      </c>
      <c r="P121" s="10" t="s">
        <v>39</v>
      </c>
      <c r="Q121" s="10" t="s">
        <v>40</v>
      </c>
      <c r="R121" s="10" t="s">
        <v>41</v>
      </c>
      <c r="U121" s="93" t="s">
        <v>395</v>
      </c>
      <c r="Y121" s="10" t="s">
        <v>382</v>
      </c>
      <c r="AA121" s="74" t="str">
        <f t="shared" si="3"/>
        <v>?</v>
      </c>
    </row>
    <row r="122" ht="14.25" customHeight="1">
      <c r="A122" s="91" t="str">
        <f t="shared" si="6"/>
        <v>https://lojaonline.vivo.com.br/vivostorefront/p/22019596?utm_source=mktcloud&amp;utm_medium=emailmkt&amp;utm_campaign=##ApproachStart##-Smart-ofertas-pos-1609-2209_vivo_b2c_ecommerce_terminais_smart-ofertas_oferta&amp;utm_content=CTA4___&amp;utm_term=##IDPlay##_</v>
      </c>
      <c r="B122" s="92" t="s">
        <v>519</v>
      </c>
      <c r="C122" s="10" t="s">
        <v>160</v>
      </c>
      <c r="D122" s="10" t="s">
        <v>94</v>
      </c>
      <c r="E122" s="93" t="s">
        <v>516</v>
      </c>
      <c r="F122" s="93" t="s">
        <v>44</v>
      </c>
      <c r="G122" s="93" t="s">
        <v>45</v>
      </c>
      <c r="H122" s="93" t="s">
        <v>95</v>
      </c>
      <c r="I122" s="93" t="s">
        <v>189</v>
      </c>
      <c r="J122" s="93" t="s">
        <v>243</v>
      </c>
      <c r="K122" s="93" t="s">
        <v>117</v>
      </c>
      <c r="L122" s="10" t="s">
        <v>35</v>
      </c>
      <c r="M122" s="10" t="s">
        <v>36</v>
      </c>
      <c r="N122" s="10" t="s">
        <v>37</v>
      </c>
      <c r="O122" s="10" t="s">
        <v>38</v>
      </c>
      <c r="P122" s="10" t="s">
        <v>39</v>
      </c>
      <c r="Q122" s="10" t="s">
        <v>40</v>
      </c>
      <c r="R122" s="10" t="s">
        <v>41</v>
      </c>
      <c r="U122" s="93" t="s">
        <v>397</v>
      </c>
      <c r="Y122" s="10" t="s">
        <v>382</v>
      </c>
      <c r="AA122" s="74" t="str">
        <f t="shared" si="3"/>
        <v>?</v>
      </c>
    </row>
    <row r="123" ht="14.25" customHeight="1">
      <c r="A123" s="91" t="str">
        <f t="shared" si="6"/>
        <v>https://lojaonline.vivo.com.br/vivostorefront/p/22018931?utm_source=mktcloud&amp;utm_medium=emailmkt&amp;utm_campaign=##ApproachStart##-Smart-ofertas-pos-1609-2209_vivo_b2c_ecommerce_terminais_smart-ofertas_oferta&amp;utm_content=CTA5___&amp;utm_term=##IDPlay##_</v>
      </c>
      <c r="B123" s="92" t="s">
        <v>394</v>
      </c>
      <c r="C123" s="10" t="s">
        <v>160</v>
      </c>
      <c r="D123" s="10" t="s">
        <v>94</v>
      </c>
      <c r="E123" s="93" t="s">
        <v>516</v>
      </c>
      <c r="F123" s="93" t="s">
        <v>44</v>
      </c>
      <c r="G123" s="93" t="s">
        <v>45</v>
      </c>
      <c r="H123" s="93" t="s">
        <v>95</v>
      </c>
      <c r="I123" s="93" t="s">
        <v>189</v>
      </c>
      <c r="J123" s="93" t="s">
        <v>243</v>
      </c>
      <c r="K123" s="93" t="s">
        <v>117</v>
      </c>
      <c r="L123" s="10" t="s">
        <v>35</v>
      </c>
      <c r="M123" s="10" t="s">
        <v>36</v>
      </c>
      <c r="N123" s="10" t="s">
        <v>37</v>
      </c>
      <c r="O123" s="10" t="s">
        <v>38</v>
      </c>
      <c r="P123" s="10" t="s">
        <v>39</v>
      </c>
      <c r="Q123" s="10" t="s">
        <v>40</v>
      </c>
      <c r="R123" s="10" t="s">
        <v>41</v>
      </c>
      <c r="U123" s="93" t="s">
        <v>399</v>
      </c>
      <c r="Y123" s="10" t="s">
        <v>382</v>
      </c>
      <c r="AA123" s="74" t="str">
        <f t="shared" si="3"/>
        <v>?</v>
      </c>
    </row>
    <row r="124" ht="14.25" customHeight="1">
      <c r="A124" s="91" t="str">
        <f t="shared" si="6"/>
        <v>https://lojaonline.vivo.com.br/vivostorefront/p/22019616?utm_source=mktcloud&amp;utm_medium=emailmkt&amp;utm_campaign=##ApproachStart##-Smart-ofertas-pos-1609-2209_vivo_b2c_ecommerce_terminais_smart-ofertas_oferta&amp;utm_content=CTA6___&amp;utm_term=##IDPlay##_</v>
      </c>
      <c r="B124" s="92" t="s">
        <v>396</v>
      </c>
      <c r="C124" s="10" t="s">
        <v>160</v>
      </c>
      <c r="D124" s="10" t="s">
        <v>94</v>
      </c>
      <c r="E124" s="93" t="s">
        <v>516</v>
      </c>
      <c r="F124" s="93" t="s">
        <v>44</v>
      </c>
      <c r="G124" s="93" t="s">
        <v>45</v>
      </c>
      <c r="H124" s="93" t="s">
        <v>95</v>
      </c>
      <c r="I124" s="93" t="s">
        <v>189</v>
      </c>
      <c r="J124" s="93" t="s">
        <v>243</v>
      </c>
      <c r="K124" s="93" t="s">
        <v>117</v>
      </c>
      <c r="L124" s="10" t="s">
        <v>35</v>
      </c>
      <c r="M124" s="10" t="s">
        <v>36</v>
      </c>
      <c r="N124" s="10" t="s">
        <v>37</v>
      </c>
      <c r="O124" s="10" t="s">
        <v>38</v>
      </c>
      <c r="P124" s="10" t="s">
        <v>39</v>
      </c>
      <c r="Q124" s="10" t="s">
        <v>40</v>
      </c>
      <c r="R124" s="10" t="s">
        <v>41</v>
      </c>
      <c r="U124" s="93" t="s">
        <v>401</v>
      </c>
      <c r="Y124" s="10" t="s">
        <v>382</v>
      </c>
      <c r="AA124" s="74" t="str">
        <f t="shared" si="3"/>
        <v>?</v>
      </c>
    </row>
    <row r="125" ht="14.25" customHeight="1">
      <c r="A125" s="10" t="str">
        <f t="shared" si="6"/>
        <v>?utm_source=mktcloud&amp;utm_medium=emailmkt&amp;utm_campaign=##ApproachStart##-Smart-ofertas-semana-cliente-Apple_vivo_b2c_ecommerce_terminais_smart-ofertas_oferta&amp;utm_content=___&amp;utm_term=##IDPlay##_</v>
      </c>
      <c r="B125" s="101"/>
      <c r="C125" s="10" t="s">
        <v>160</v>
      </c>
      <c r="D125" s="10" t="s">
        <v>94</v>
      </c>
      <c r="E125" s="93" t="s">
        <v>520</v>
      </c>
      <c r="F125" s="93" t="s">
        <v>44</v>
      </c>
      <c r="G125" s="93" t="s">
        <v>45</v>
      </c>
      <c r="H125" s="93" t="s">
        <v>95</v>
      </c>
      <c r="I125" s="93" t="s">
        <v>189</v>
      </c>
      <c r="J125" s="93" t="s">
        <v>243</v>
      </c>
      <c r="K125" s="93" t="s">
        <v>117</v>
      </c>
      <c r="L125" s="10" t="s">
        <v>35</v>
      </c>
      <c r="M125" s="10" t="s">
        <v>36</v>
      </c>
      <c r="N125" s="10" t="s">
        <v>37</v>
      </c>
      <c r="O125" s="10" t="s">
        <v>38</v>
      </c>
      <c r="P125" s="10" t="s">
        <v>39</v>
      </c>
      <c r="Q125" s="10" t="s">
        <v>40</v>
      </c>
      <c r="R125" s="10" t="s">
        <v>41</v>
      </c>
      <c r="Y125" s="10" t="s">
        <v>382</v>
      </c>
      <c r="AA125" s="74" t="str">
        <f t="shared" si="3"/>
        <v>?</v>
      </c>
    </row>
    <row r="126" ht="14.25" customHeight="1">
      <c r="A126" s="91" t="str">
        <f t="shared" si="6"/>
        <v>https://www.vivoplay.com.br/details/movie/o-esquadrao-suicida-dual-audio-16462943?tr=1&amp;utm_source=mktcloud&amp;utm_medium=emailmkt&amp;utm_campaign=##ApproachStart##-Lancamento-filme-1709-Esquadrao-suicida_vivo_b2c_servicosdigitais_servicosdigitais_duo_oferta&amp;utm_content=___&amp;utm_term=##IDPlay##_</v>
      </c>
      <c r="B126" s="92" t="s">
        <v>521</v>
      </c>
      <c r="C126" s="10" t="s">
        <v>160</v>
      </c>
      <c r="D126" s="10" t="s">
        <v>94</v>
      </c>
      <c r="E126" s="93" t="s">
        <v>522</v>
      </c>
      <c r="F126" s="10" t="s">
        <v>44</v>
      </c>
      <c r="G126" s="10" t="s">
        <v>45</v>
      </c>
      <c r="H126" s="10" t="s">
        <v>141</v>
      </c>
      <c r="I126" s="10" t="s">
        <v>141</v>
      </c>
      <c r="J126" s="10" t="s">
        <v>143</v>
      </c>
      <c r="K126" s="10" t="s">
        <v>117</v>
      </c>
      <c r="L126" s="10" t="s">
        <v>35</v>
      </c>
      <c r="M126" s="10" t="s">
        <v>36</v>
      </c>
      <c r="N126" s="10" t="s">
        <v>37</v>
      </c>
      <c r="O126" s="10" t="s">
        <v>38</v>
      </c>
      <c r="P126" s="10" t="s">
        <v>39</v>
      </c>
      <c r="Q126" s="10" t="s">
        <v>40</v>
      </c>
      <c r="R126" s="10" t="s">
        <v>41</v>
      </c>
      <c r="Y126" s="10" t="s">
        <v>382</v>
      </c>
      <c r="AA126" s="74" t="str">
        <f t="shared" si="3"/>
        <v>&amp;</v>
      </c>
    </row>
    <row r="127" ht="14.25" customHeight="1">
      <c r="A127" s="91" t="str">
        <f t="shared" si="6"/>
        <v>https://www.vivoplay.com.br/details/movie/15319676?utm_source=mktcloud&amp;utm_medium=emailmkt&amp;utm_campaign=##ApproachStart##-Lancamento-filme-1709-Godzila-Kong_vivo_b2c_servicosdigitais_servicosdigitais_duo_oferta&amp;utm_content=___&amp;utm_term=##IDPlay##_</v>
      </c>
      <c r="B127" s="92" t="s">
        <v>523</v>
      </c>
      <c r="C127" s="10" t="s">
        <v>160</v>
      </c>
      <c r="D127" s="10" t="s">
        <v>94</v>
      </c>
      <c r="E127" s="93" t="s">
        <v>524</v>
      </c>
      <c r="F127" s="10" t="s">
        <v>44</v>
      </c>
      <c r="G127" s="10" t="s">
        <v>45</v>
      </c>
      <c r="H127" s="10" t="s">
        <v>141</v>
      </c>
      <c r="I127" s="10" t="s">
        <v>141</v>
      </c>
      <c r="J127" s="10" t="s">
        <v>143</v>
      </c>
      <c r="K127" s="10" t="s">
        <v>117</v>
      </c>
      <c r="L127" s="10" t="s">
        <v>35</v>
      </c>
      <c r="M127" s="10" t="s">
        <v>36</v>
      </c>
      <c r="N127" s="10" t="s">
        <v>37</v>
      </c>
      <c r="O127" s="10" t="s">
        <v>38</v>
      </c>
      <c r="P127" s="10" t="s">
        <v>39</v>
      </c>
      <c r="Q127" s="10" t="s">
        <v>40</v>
      </c>
      <c r="R127" s="10" t="s">
        <v>41</v>
      </c>
      <c r="Y127" s="10" t="s">
        <v>382</v>
      </c>
      <c r="AA127" s="74" t="str">
        <f t="shared" si="3"/>
        <v>?</v>
      </c>
    </row>
    <row r="128" ht="14.25" customHeight="1">
      <c r="A128" s="91" t="str">
        <f t="shared" si="6"/>
        <v>https://www.vivoplay.com.br/details/movie/pequenos-vestigios-dual-audio-16462945?tr=1&amp;utm_source=mktcloud&amp;utm_medium=emailmkt&amp;utm_campaign=##ApproachStart##-Lancamento-filme-1709-Pequenos-vestigios_vivo_b2c_servicosdigitais_servicosdigitais_duo_oferta&amp;utm_content=___&amp;utm_term=##IDPlay##_</v>
      </c>
      <c r="B128" s="92" t="s">
        <v>525</v>
      </c>
      <c r="C128" s="10" t="s">
        <v>160</v>
      </c>
      <c r="D128" s="10" t="s">
        <v>94</v>
      </c>
      <c r="E128" s="93" t="s">
        <v>526</v>
      </c>
      <c r="F128" s="10" t="s">
        <v>44</v>
      </c>
      <c r="G128" s="10" t="s">
        <v>45</v>
      </c>
      <c r="H128" s="10" t="s">
        <v>141</v>
      </c>
      <c r="I128" s="10" t="s">
        <v>141</v>
      </c>
      <c r="J128" s="10" t="s">
        <v>143</v>
      </c>
      <c r="K128" s="10" t="s">
        <v>117</v>
      </c>
      <c r="L128" s="10" t="s">
        <v>35</v>
      </c>
      <c r="M128" s="10" t="s">
        <v>36</v>
      </c>
      <c r="N128" s="10" t="s">
        <v>37</v>
      </c>
      <c r="O128" s="10" t="s">
        <v>38</v>
      </c>
      <c r="P128" s="10" t="s">
        <v>39</v>
      </c>
      <c r="Q128" s="10" t="s">
        <v>40</v>
      </c>
      <c r="R128" s="10" t="s">
        <v>41</v>
      </c>
      <c r="Y128" s="10" t="s">
        <v>382</v>
      </c>
      <c r="AA128" s="74" t="str">
        <f t="shared" si="3"/>
        <v>&amp;</v>
      </c>
    </row>
    <row r="129" ht="14.25" customHeight="1">
      <c r="A129" s="91" t="str">
        <f t="shared" si="6"/>
        <v>https://www.vivoplay.com.br/details/movie/espiral-o-legado-de-jogos-mortais-dual-audio-16420678?utm_source=mktcloud&amp;utm_medium=emailmkt&amp;utm_campaign=##ApproachStart##-Lancamento-filme-1709-Espiral_vivo_b2c_servicosdigitais_servicosdigitais_duo_oferta&amp;utm_content=___&amp;utm_term=##IDPlay##_</v>
      </c>
      <c r="B129" s="92" t="s">
        <v>527</v>
      </c>
      <c r="C129" s="10" t="s">
        <v>160</v>
      </c>
      <c r="D129" s="10" t="s">
        <v>94</v>
      </c>
      <c r="E129" s="93" t="s">
        <v>528</v>
      </c>
      <c r="F129" s="10" t="s">
        <v>44</v>
      </c>
      <c r="G129" s="10" t="s">
        <v>45</v>
      </c>
      <c r="H129" s="10" t="s">
        <v>141</v>
      </c>
      <c r="I129" s="10" t="s">
        <v>141</v>
      </c>
      <c r="J129" s="10" t="s">
        <v>143</v>
      </c>
      <c r="K129" s="10" t="s">
        <v>117</v>
      </c>
      <c r="L129" s="10" t="s">
        <v>35</v>
      </c>
      <c r="M129" s="10" t="s">
        <v>36</v>
      </c>
      <c r="N129" s="10" t="s">
        <v>37</v>
      </c>
      <c r="O129" s="10" t="s">
        <v>38</v>
      </c>
      <c r="P129" s="10" t="s">
        <v>39</v>
      </c>
      <c r="Q129" s="10" t="s">
        <v>40</v>
      </c>
      <c r="R129" s="10" t="s">
        <v>41</v>
      </c>
      <c r="Y129" s="10" t="s">
        <v>382</v>
      </c>
      <c r="AA129" s="74" t="str">
        <f t="shared" si="3"/>
        <v>?</v>
      </c>
    </row>
    <row r="130" ht="14.25" customHeight="1">
      <c r="A130" s="91" t="str">
        <f t="shared" si="6"/>
        <v>https://www.vivoplay.com.br/details/movie/os-croods-2-uma-nova-era-dual-audio-16212088?utm_source=mktcloud&amp;utm_medium=emailmkt&amp;utm_campaign=##ApproachStart##-Lancamento-filme-1709-Croods_vivo_b2c_servicosdigitais_servicosdigitais_duo_oferta&amp;utm_content=___&amp;utm_term=##IDPlay##_</v>
      </c>
      <c r="B130" s="92" t="s">
        <v>529</v>
      </c>
      <c r="C130" s="10" t="s">
        <v>160</v>
      </c>
      <c r="D130" s="10" t="s">
        <v>94</v>
      </c>
      <c r="E130" s="93" t="s">
        <v>530</v>
      </c>
      <c r="F130" s="10" t="s">
        <v>44</v>
      </c>
      <c r="G130" s="10" t="s">
        <v>45</v>
      </c>
      <c r="H130" s="10" t="s">
        <v>141</v>
      </c>
      <c r="I130" s="10" t="s">
        <v>141</v>
      </c>
      <c r="J130" s="10" t="s">
        <v>143</v>
      </c>
      <c r="K130" s="10" t="s">
        <v>117</v>
      </c>
      <c r="L130" s="10" t="s">
        <v>35</v>
      </c>
      <c r="M130" s="10" t="s">
        <v>36</v>
      </c>
      <c r="N130" s="10" t="s">
        <v>37</v>
      </c>
      <c r="O130" s="10" t="s">
        <v>38</v>
      </c>
      <c r="P130" s="10" t="s">
        <v>39</v>
      </c>
      <c r="Q130" s="10" t="s">
        <v>40</v>
      </c>
      <c r="R130" s="10" t="s">
        <v>41</v>
      </c>
      <c r="Y130" s="10" t="s">
        <v>382</v>
      </c>
      <c r="AA130" s="74" t="str">
        <f t="shared" si="3"/>
        <v>?</v>
      </c>
    </row>
    <row r="131" ht="14.25" customHeight="1">
      <c r="A131" s="91" t="str">
        <f t="shared" si="6"/>
        <v>https://www.vivoplay.com.br/details/movie/space-jam-um-novo-legado-16106994?utm_source=mktcloud&amp;utm_medium=emailmkt&amp;utm_campaign=##ApproachStart##-Lancamento-filme-1709-Space-Jam_vivo_b2c_servicosdigitais_servicosdigitais_duo_oferta&amp;utm_content=___&amp;utm_term=##IDPlay##_</v>
      </c>
      <c r="B131" s="92" t="s">
        <v>531</v>
      </c>
      <c r="C131" s="10" t="s">
        <v>160</v>
      </c>
      <c r="D131" s="10" t="s">
        <v>94</v>
      </c>
      <c r="E131" s="93" t="s">
        <v>532</v>
      </c>
      <c r="F131" s="10" t="s">
        <v>44</v>
      </c>
      <c r="G131" s="10" t="s">
        <v>45</v>
      </c>
      <c r="H131" s="10" t="s">
        <v>141</v>
      </c>
      <c r="I131" s="10" t="s">
        <v>141</v>
      </c>
      <c r="J131" s="10" t="s">
        <v>143</v>
      </c>
      <c r="K131" s="10" t="s">
        <v>117</v>
      </c>
      <c r="L131" s="10" t="s">
        <v>35</v>
      </c>
      <c r="M131" s="10" t="s">
        <v>36</v>
      </c>
      <c r="N131" s="10" t="s">
        <v>37</v>
      </c>
      <c r="O131" s="10" t="s">
        <v>38</v>
      </c>
      <c r="P131" s="10" t="s">
        <v>39</v>
      </c>
      <c r="Q131" s="10" t="s">
        <v>40</v>
      </c>
      <c r="R131" s="10" t="s">
        <v>41</v>
      </c>
      <c r="Y131" s="10" t="s">
        <v>382</v>
      </c>
      <c r="AA131" s="74" t="str">
        <f t="shared" si="3"/>
        <v>?</v>
      </c>
    </row>
    <row r="132" ht="14.25" customHeight="1">
      <c r="A132" s="91" t="str">
        <f t="shared" si="6"/>
        <v>https://www.vivoplay.com.br/details/movie/piedade-16334028?utm_source=mktcloud&amp;utm_medium=emailmkt&amp;utm_campaign=##ApproachStart##-Lancamento-filme-1709-Piedade_vivo_b2c_servicosdigitais_servicosdigitais_duo_oferta&amp;utm_content=___&amp;utm_term=##IDPlay##_</v>
      </c>
      <c r="B132" s="92" t="s">
        <v>533</v>
      </c>
      <c r="C132" s="10" t="s">
        <v>160</v>
      </c>
      <c r="D132" s="10" t="s">
        <v>94</v>
      </c>
      <c r="E132" s="93" t="s">
        <v>534</v>
      </c>
      <c r="F132" s="10" t="s">
        <v>44</v>
      </c>
      <c r="G132" s="10" t="s">
        <v>45</v>
      </c>
      <c r="H132" s="10" t="s">
        <v>141</v>
      </c>
      <c r="I132" s="10" t="s">
        <v>141</v>
      </c>
      <c r="J132" s="10" t="s">
        <v>143</v>
      </c>
      <c r="K132" s="10" t="s">
        <v>117</v>
      </c>
      <c r="L132" s="10" t="s">
        <v>35</v>
      </c>
      <c r="M132" s="10" t="s">
        <v>36</v>
      </c>
      <c r="N132" s="10" t="s">
        <v>37</v>
      </c>
      <c r="O132" s="10" t="s">
        <v>38</v>
      </c>
      <c r="P132" s="10" t="s">
        <v>39</v>
      </c>
      <c r="Q132" s="10" t="s">
        <v>40</v>
      </c>
      <c r="R132" s="10" t="s">
        <v>41</v>
      </c>
      <c r="Y132" s="10" t="s">
        <v>382</v>
      </c>
      <c r="AA132" s="74" t="str">
        <f t="shared" si="3"/>
        <v>?</v>
      </c>
    </row>
    <row r="133" ht="14.25" customHeight="1">
      <c r="A133" s="10" t="str">
        <f t="shared" si="6"/>
        <v>?utm_source=mktcloud&amp;utm_medium=emailmkt&amp;utm_campaign=##ApproachStart##-Vivo-valoriza-duolingo_vivo_b2c_institucional_valoriza_duo_comunicado&amp;utm_content=___&amp;utm_term=##IDPlay##_</v>
      </c>
      <c r="C133" s="10" t="s">
        <v>160</v>
      </c>
      <c r="D133" s="10" t="s">
        <v>94</v>
      </c>
      <c r="E133" s="93" t="s">
        <v>535</v>
      </c>
      <c r="F133" s="93" t="s">
        <v>44</v>
      </c>
      <c r="G133" s="93" t="s">
        <v>45</v>
      </c>
      <c r="H133" s="93" t="s">
        <v>115</v>
      </c>
      <c r="I133" s="93" t="s">
        <v>199</v>
      </c>
      <c r="J133" s="93" t="s">
        <v>143</v>
      </c>
      <c r="K133" s="93" t="s">
        <v>68</v>
      </c>
      <c r="L133" s="10" t="s">
        <v>35</v>
      </c>
      <c r="M133" s="10" t="s">
        <v>36</v>
      </c>
      <c r="N133" s="10" t="s">
        <v>37</v>
      </c>
      <c r="O133" s="10" t="s">
        <v>38</v>
      </c>
      <c r="P133" s="10" t="s">
        <v>39</v>
      </c>
      <c r="Q133" s="10" t="s">
        <v>40</v>
      </c>
      <c r="R133" s="10" t="s">
        <v>41</v>
      </c>
      <c r="Y133" s="10" t="s">
        <v>382</v>
      </c>
      <c r="AA133" s="74" t="str">
        <f t="shared" si="3"/>
        <v>?</v>
      </c>
    </row>
    <row r="134" ht="14.25" customHeight="1">
      <c r="A134" s="91" t="str">
        <f t="shared" si="6"/>
        <v>http://lojaonline.vivo.com.br/vivostorefront/campaign?identifier=Nokia24_Controle&amp;utm_source=mktcloud&amp;utm_medium=emailmkt&amp;utm_campaign=##ApproachStart##-Oferta-Nokia_vivo_b2c_ecommerce_terminais_duo_oferta&amp;utm_content=___&amp;utm_term=##IDPlay##_</v>
      </c>
      <c r="B134" s="102" t="s">
        <v>511</v>
      </c>
      <c r="C134" s="10" t="s">
        <v>160</v>
      </c>
      <c r="D134" s="10" t="s">
        <v>94</v>
      </c>
      <c r="E134" s="93" t="s">
        <v>536</v>
      </c>
      <c r="F134" s="93" t="s">
        <v>44</v>
      </c>
      <c r="G134" s="93" t="s">
        <v>45</v>
      </c>
      <c r="H134" s="93" t="s">
        <v>95</v>
      </c>
      <c r="I134" s="93" t="s">
        <v>189</v>
      </c>
      <c r="J134" s="93" t="s">
        <v>143</v>
      </c>
      <c r="K134" s="93" t="s">
        <v>117</v>
      </c>
      <c r="L134" s="10" t="s">
        <v>35</v>
      </c>
      <c r="M134" s="10" t="s">
        <v>36</v>
      </c>
      <c r="N134" s="10" t="s">
        <v>37</v>
      </c>
      <c r="O134" s="10" t="s">
        <v>38</v>
      </c>
      <c r="P134" s="10" t="s">
        <v>39</v>
      </c>
      <c r="Q134" s="10" t="s">
        <v>40</v>
      </c>
      <c r="R134" s="10" t="s">
        <v>41</v>
      </c>
      <c r="Y134" s="10" t="s">
        <v>382</v>
      </c>
      <c r="AA134" s="74" t="str">
        <f t="shared" si="3"/>
        <v>&amp;</v>
      </c>
    </row>
    <row r="135" ht="14.25" customHeight="1">
      <c r="A135" s="10" t="str">
        <f t="shared" si="6"/>
        <v>?utm_source=mktcloud&amp;utm_medium=emailmkt&amp;utm_campaign=##ApproachStart##-Rentabilizacao-selfie-globoplay_vivo_b2c_movel_plano-movel_duo_migracao&amp;utm_content=___&amp;utm_term=##IDPlay##_</v>
      </c>
      <c r="B135" s="103"/>
      <c r="C135" s="10" t="s">
        <v>160</v>
      </c>
      <c r="D135" s="10" t="s">
        <v>94</v>
      </c>
      <c r="E135" s="93" t="s">
        <v>537</v>
      </c>
      <c r="F135" s="93" t="s">
        <v>44</v>
      </c>
      <c r="G135" s="93" t="s">
        <v>45</v>
      </c>
      <c r="H135" s="93" t="s">
        <v>124</v>
      </c>
      <c r="I135" s="93" t="s">
        <v>212</v>
      </c>
      <c r="J135" s="93" t="s">
        <v>143</v>
      </c>
      <c r="K135" s="93" t="s">
        <v>109</v>
      </c>
      <c r="L135" s="10" t="s">
        <v>35</v>
      </c>
      <c r="M135" s="10" t="s">
        <v>36</v>
      </c>
      <c r="N135" s="10" t="s">
        <v>37</v>
      </c>
      <c r="O135" s="10" t="s">
        <v>38</v>
      </c>
      <c r="P135" s="10" t="s">
        <v>39</v>
      </c>
      <c r="Q135" s="10" t="s">
        <v>40</v>
      </c>
      <c r="R135" s="10" t="s">
        <v>41</v>
      </c>
      <c r="Y135" s="10" t="s">
        <v>382</v>
      </c>
      <c r="AA135" s="74" t="str">
        <f t="shared" si="3"/>
        <v>?</v>
      </c>
    </row>
    <row r="136" ht="14.25" customHeight="1">
      <c r="A136" s="10" t="str">
        <f t="shared" si="6"/>
        <v>?utm_source=mktcloud&amp;utm_medium=emailmkt&amp;utm_campaign=##ApproachStart##-Incentivo-contratacao-Playkids_vivo_b2c_movel_servicosdigitais_none_oferta&amp;utm_content=___&amp;utm_term=##IDPlay##_</v>
      </c>
      <c r="C136" s="10" t="s">
        <v>160</v>
      </c>
      <c r="D136" s="10" t="s">
        <v>94</v>
      </c>
      <c r="E136" s="93" t="s">
        <v>538</v>
      </c>
      <c r="F136" s="93" t="s">
        <v>44</v>
      </c>
      <c r="G136" s="93" t="s">
        <v>45</v>
      </c>
      <c r="H136" s="93" t="s">
        <v>124</v>
      </c>
      <c r="I136" s="93" t="s">
        <v>141</v>
      </c>
      <c r="J136" s="93" t="s">
        <v>168</v>
      </c>
      <c r="K136" s="93" t="s">
        <v>117</v>
      </c>
      <c r="L136" s="10" t="s">
        <v>35</v>
      </c>
      <c r="M136" s="10" t="s">
        <v>36</v>
      </c>
      <c r="N136" s="10" t="s">
        <v>37</v>
      </c>
      <c r="O136" s="10" t="s">
        <v>38</v>
      </c>
      <c r="P136" s="10" t="s">
        <v>39</v>
      </c>
      <c r="Q136" s="10" t="s">
        <v>40</v>
      </c>
      <c r="R136" s="10" t="s">
        <v>41</v>
      </c>
      <c r="Y136" s="10" t="s">
        <v>382</v>
      </c>
      <c r="AA136" s="74" t="str">
        <f t="shared" si="3"/>
        <v>?</v>
      </c>
    </row>
    <row r="137" ht="14.25" customHeight="1">
      <c r="A137" s="10" t="str">
        <f t="shared" si="6"/>
        <v>?utm_source=mktcloud&amp;utm_medium=emailmkt&amp;utm_campaign=##ApproachStart##-Incentivo-Paramount-plus-Rio-Shore_vivo_b2c_fixa_servicosdigitais_none_oferta&amp;utm_content=___&amp;utm_term=##IDPlay##_</v>
      </c>
      <c r="C137" s="10" t="s">
        <v>160</v>
      </c>
      <c r="D137" s="10" t="s">
        <v>94</v>
      </c>
      <c r="E137" s="93" t="s">
        <v>539</v>
      </c>
      <c r="F137" s="93" t="s">
        <v>44</v>
      </c>
      <c r="G137" s="93" t="s">
        <v>45</v>
      </c>
      <c r="H137" s="93" t="s">
        <v>108</v>
      </c>
      <c r="I137" s="93" t="s">
        <v>141</v>
      </c>
      <c r="J137" s="93" t="s">
        <v>168</v>
      </c>
      <c r="K137" s="93" t="s">
        <v>117</v>
      </c>
      <c r="L137" s="10" t="s">
        <v>35</v>
      </c>
      <c r="M137" s="10" t="s">
        <v>36</v>
      </c>
      <c r="N137" s="10" t="s">
        <v>37</v>
      </c>
      <c r="O137" s="10" t="s">
        <v>38</v>
      </c>
      <c r="P137" s="10" t="s">
        <v>39</v>
      </c>
      <c r="Q137" s="10" t="s">
        <v>40</v>
      </c>
      <c r="R137" s="10" t="s">
        <v>41</v>
      </c>
      <c r="Y137" s="10" t="s">
        <v>382</v>
      </c>
      <c r="AA137" s="74" t="str">
        <f t="shared" si="3"/>
        <v>?</v>
      </c>
    </row>
    <row r="138" ht="14.25" customHeight="1">
      <c r="A138" s="10" t="str">
        <f>B138&amp;AA138&amp;"utm_source="&amp;C138&amp;"&amp;"&amp;"utm_medium="&amp;D138&amp;"&amp;"&amp;"utm_campaign="&amp;#REF!&amp;"_"&amp;F138&amp;"_"&amp;G138&amp;"_"&amp;H138&amp;"_"&amp;I138&amp;"_"&amp;J138&amp;"_"&amp;K138&amp;"&amp;"&amp;"utm_content="&amp;U138&amp;"_"&amp;V138&amp;"_"&amp;W138&amp;"_"&amp;X138&amp;"&amp;"&amp;"utm_term="&amp;Y138&amp;"_"&amp;Z138</f>
        <v>#REF!</v>
      </c>
      <c r="B138" s="95" t="s">
        <v>540</v>
      </c>
      <c r="C138" s="10" t="s">
        <v>160</v>
      </c>
      <c r="D138" s="10" t="s">
        <v>94</v>
      </c>
      <c r="E138" s="93" t="s">
        <v>541</v>
      </c>
      <c r="F138" s="10" t="s">
        <v>44</v>
      </c>
      <c r="G138" s="10" t="s">
        <v>45</v>
      </c>
      <c r="H138" s="10" t="s">
        <v>141</v>
      </c>
      <c r="I138" s="10" t="s">
        <v>141</v>
      </c>
      <c r="J138" s="10" t="s">
        <v>143</v>
      </c>
      <c r="K138" s="10" t="s">
        <v>117</v>
      </c>
      <c r="L138" s="10" t="s">
        <v>35</v>
      </c>
      <c r="M138" s="10" t="s">
        <v>36</v>
      </c>
      <c r="N138" s="10" t="s">
        <v>37</v>
      </c>
      <c r="O138" s="10" t="s">
        <v>38</v>
      </c>
      <c r="P138" s="10" t="s">
        <v>39</v>
      </c>
      <c r="Q138" s="10" t="s">
        <v>40</v>
      </c>
      <c r="R138" s="10" t="s">
        <v>41</v>
      </c>
      <c r="Y138" s="10" t="s">
        <v>382</v>
      </c>
      <c r="AA138" s="74" t="str">
        <f t="shared" si="3"/>
        <v>&amp;</v>
      </c>
    </row>
    <row r="139" ht="14.25" customHeight="1">
      <c r="A139" s="91" t="str">
        <f>B139&amp;AA139&amp;"utm_source="&amp;C139&amp;"&amp;"&amp;"utm_medium="&amp;D139&amp;"&amp;"&amp;"utm_campaign="&amp;E138&amp;"_"&amp;F139&amp;"_"&amp;G139&amp;"_"&amp;H139&amp;"_"&amp;I139&amp;"_"&amp;J139&amp;"_"&amp;K139&amp;"&amp;"&amp;"utm_content="&amp;U139&amp;"_"&amp;V139&amp;"_"&amp;W139&amp;"_"&amp;X139&amp;"&amp;"&amp;"utm_term="&amp;Y139&amp;"_"&amp;Z139</f>
        <v>https://www.vivoplay.com.br/catalog/bilheteria-8538/lancamentos-8285/todos-8334?index=0&amp;utm_source=mktcloud&amp;utm_medium=emailmkt&amp;utm_campaign=##ApproachStart##-Lancamento-filme-2409-Velozes-Furiosos-9_vivo_b2c_servicosdigitais_servicosdigitais_duo_oferta&amp;utm_content=___&amp;utm_term=##IDPlay##_</v>
      </c>
      <c r="B139" s="95" t="s">
        <v>542</v>
      </c>
      <c r="C139" s="10" t="s">
        <v>160</v>
      </c>
      <c r="D139" s="10" t="s">
        <v>94</v>
      </c>
      <c r="E139" s="93" t="s">
        <v>543</v>
      </c>
      <c r="F139" s="10" t="s">
        <v>44</v>
      </c>
      <c r="G139" s="10" t="s">
        <v>45</v>
      </c>
      <c r="H139" s="10" t="s">
        <v>141</v>
      </c>
      <c r="I139" s="10" t="s">
        <v>141</v>
      </c>
      <c r="J139" s="10" t="s">
        <v>143</v>
      </c>
      <c r="K139" s="10" t="s">
        <v>117</v>
      </c>
      <c r="L139" s="10" t="s">
        <v>35</v>
      </c>
      <c r="M139" s="10" t="s">
        <v>36</v>
      </c>
      <c r="N139" s="10" t="s">
        <v>37</v>
      </c>
      <c r="O139" s="10" t="s">
        <v>38</v>
      </c>
      <c r="P139" s="10" t="s">
        <v>39</v>
      </c>
      <c r="Q139" s="10" t="s">
        <v>40</v>
      </c>
      <c r="R139" s="10" t="s">
        <v>41</v>
      </c>
      <c r="Y139" s="10" t="s">
        <v>382</v>
      </c>
      <c r="AA139" s="74" t="str">
        <f t="shared" si="3"/>
        <v>&amp;</v>
      </c>
    </row>
    <row r="140" ht="14.25" customHeight="1">
      <c r="A140" s="91" t="str">
        <f t="shared" ref="A140:A144" si="7">B140&amp;AA140&amp;"utm_source="&amp;C140&amp;"&amp;"&amp;"utm_medium="&amp;D140&amp;"&amp;"&amp;"utm_campaign="&amp;E140&amp;"_"&amp;F140&amp;"_"&amp;G140&amp;"_"&amp;H140&amp;"_"&amp;I140&amp;"_"&amp;J140&amp;"_"&amp;K140&amp;"&amp;"&amp;"utm_content="&amp;U140&amp;"_"&amp;V140&amp;"_"&amp;W140&amp;"_"&amp;X140&amp;"&amp;"&amp;"utm_term="&amp;Y140&amp;"_"&amp;Z140</f>
        <v>https://www.vivoplay.com.br/details/movie/crisis-dual-audio-16419265?tr=1&amp;utm_source=mktcloud&amp;utm_medium=emailmkt&amp;utm_campaign=##ApproachStart##-Lancamento-filme-2409-Crisis_vivo_b2c_servicosdigitais_servicosdigitais_duo_oferta&amp;utm_content=___&amp;utm_term=##IDPlay##_</v>
      </c>
      <c r="B140" s="95" t="s">
        <v>544</v>
      </c>
      <c r="C140" s="10" t="s">
        <v>160</v>
      </c>
      <c r="D140" s="10" t="s">
        <v>94</v>
      </c>
      <c r="E140" s="93" t="s">
        <v>545</v>
      </c>
      <c r="F140" s="10" t="s">
        <v>44</v>
      </c>
      <c r="G140" s="10" t="s">
        <v>45</v>
      </c>
      <c r="H140" s="10" t="s">
        <v>141</v>
      </c>
      <c r="I140" s="10" t="s">
        <v>141</v>
      </c>
      <c r="J140" s="10" t="s">
        <v>143</v>
      </c>
      <c r="K140" s="10" t="s">
        <v>117</v>
      </c>
      <c r="L140" s="10" t="s">
        <v>35</v>
      </c>
      <c r="M140" s="10" t="s">
        <v>36</v>
      </c>
      <c r="N140" s="10" t="s">
        <v>37</v>
      </c>
      <c r="O140" s="10" t="s">
        <v>38</v>
      </c>
      <c r="P140" s="10" t="s">
        <v>39</v>
      </c>
      <c r="Q140" s="10" t="s">
        <v>40</v>
      </c>
      <c r="R140" s="10" t="s">
        <v>41</v>
      </c>
      <c r="Y140" s="10" t="s">
        <v>382</v>
      </c>
      <c r="AA140" s="74" t="str">
        <f t="shared" si="3"/>
        <v>&amp;</v>
      </c>
    </row>
    <row r="141" ht="14.25" customHeight="1">
      <c r="A141" s="91" t="str">
        <f t="shared" si="7"/>
        <v>https://www.vivoplay.com.br/details/movie/16560100?tr=1&amp;utm_source=mktcloud&amp;utm_medium=emailmkt&amp;utm_campaign=##ApproachStart##-Lancamento-filme-2409-Velozes-Furiosos-9_vivo_b2c_servicosdigitais_servicosdigitais_duo_oferta&amp;utm_content=___&amp;utm_term=##IDPlay##_</v>
      </c>
      <c r="B141" s="95" t="s">
        <v>546</v>
      </c>
      <c r="C141" s="10" t="s">
        <v>160</v>
      </c>
      <c r="D141" s="10" t="s">
        <v>94</v>
      </c>
      <c r="E141" s="93" t="s">
        <v>541</v>
      </c>
      <c r="F141" s="10" t="s">
        <v>44</v>
      </c>
      <c r="G141" s="10" t="s">
        <v>45</v>
      </c>
      <c r="H141" s="10" t="s">
        <v>141</v>
      </c>
      <c r="I141" s="10" t="s">
        <v>141</v>
      </c>
      <c r="J141" s="10" t="s">
        <v>143</v>
      </c>
      <c r="K141" s="10" t="s">
        <v>117</v>
      </c>
      <c r="L141" s="10" t="s">
        <v>35</v>
      </c>
      <c r="M141" s="10" t="s">
        <v>36</v>
      </c>
      <c r="N141" s="10" t="s">
        <v>37</v>
      </c>
      <c r="O141" s="10" t="s">
        <v>38</v>
      </c>
      <c r="P141" s="10" t="s">
        <v>39</v>
      </c>
      <c r="Q141" s="10" t="s">
        <v>40</v>
      </c>
      <c r="R141" s="10" t="s">
        <v>41</v>
      </c>
      <c r="Y141" s="10" t="s">
        <v>382</v>
      </c>
      <c r="AA141" s="74" t="str">
        <f t="shared" si="3"/>
        <v>&amp;</v>
      </c>
    </row>
    <row r="142" ht="14.25" customHeight="1">
      <c r="A142" s="91" t="str">
        <f t="shared" si="7"/>
        <v>https://www.vivoplay.com.br/details/movie/velozes-e-furiosos-4-15967802?utm_source=mktcloud&amp;utm_medium=emailmkt&amp;utm_campaign=##ApproachStart##-Lancamento-filme-2409-Velozes-Furiosos-4_vivo_b2c_servicosdigitais_servicosdigitais_duo_oferta&amp;utm_content=___&amp;utm_term=##IDPlay##_</v>
      </c>
      <c r="B142" s="95" t="s">
        <v>547</v>
      </c>
      <c r="C142" s="10" t="s">
        <v>160</v>
      </c>
      <c r="D142" s="10" t="s">
        <v>94</v>
      </c>
      <c r="E142" s="93" t="s">
        <v>548</v>
      </c>
      <c r="F142" s="10" t="s">
        <v>44</v>
      </c>
      <c r="G142" s="10" t="s">
        <v>45</v>
      </c>
      <c r="H142" s="10" t="s">
        <v>141</v>
      </c>
      <c r="I142" s="10" t="s">
        <v>141</v>
      </c>
      <c r="J142" s="10" t="s">
        <v>143</v>
      </c>
      <c r="K142" s="10" t="s">
        <v>117</v>
      </c>
      <c r="L142" s="10" t="s">
        <v>35</v>
      </c>
      <c r="M142" s="10" t="s">
        <v>36</v>
      </c>
      <c r="N142" s="10" t="s">
        <v>37</v>
      </c>
      <c r="O142" s="10" t="s">
        <v>38</v>
      </c>
      <c r="P142" s="10" t="s">
        <v>39</v>
      </c>
      <c r="Q142" s="10" t="s">
        <v>40</v>
      </c>
      <c r="R142" s="10" t="s">
        <v>41</v>
      </c>
      <c r="Y142" s="10" t="s">
        <v>382</v>
      </c>
      <c r="AA142" s="74" t="str">
        <f t="shared" si="3"/>
        <v>?</v>
      </c>
    </row>
    <row r="143" ht="14.25" customHeight="1">
      <c r="A143" s="91" t="str">
        <f t="shared" si="7"/>
        <v>https://www.vivoplay.com.br/catalog/bilheteria-8538/colecoes-9278/velozes-e-furiosos-9287?index=0&amp;utm_source=mktcloud&amp;utm_medium=emailmkt&amp;utm_campaign=##ApproachStart##-Lancamento-filme-2409-Velozes-Furiosos-Hobbs-Shaw_vivo_b2c_servicosdigitais_servicosdigitais_duo_oferta&amp;utm_content=___&amp;utm_term=##IDPlay##_</v>
      </c>
      <c r="B143" s="92" t="s">
        <v>540</v>
      </c>
      <c r="C143" s="10" t="s">
        <v>160</v>
      </c>
      <c r="D143" s="10" t="s">
        <v>94</v>
      </c>
      <c r="E143" s="93" t="s">
        <v>549</v>
      </c>
      <c r="F143" s="10" t="s">
        <v>44</v>
      </c>
      <c r="G143" s="10" t="s">
        <v>45</v>
      </c>
      <c r="H143" s="10" t="s">
        <v>141</v>
      </c>
      <c r="I143" s="10" t="s">
        <v>141</v>
      </c>
      <c r="J143" s="10" t="s">
        <v>143</v>
      </c>
      <c r="K143" s="10" t="s">
        <v>117</v>
      </c>
      <c r="L143" s="10" t="s">
        <v>35</v>
      </c>
      <c r="M143" s="10" t="s">
        <v>36</v>
      </c>
      <c r="N143" s="10" t="s">
        <v>37</v>
      </c>
      <c r="O143" s="10" t="s">
        <v>38</v>
      </c>
      <c r="P143" s="10" t="s">
        <v>39</v>
      </c>
      <c r="Q143" s="10" t="s">
        <v>40</v>
      </c>
      <c r="R143" s="10" t="s">
        <v>41</v>
      </c>
      <c r="Y143" s="10" t="s">
        <v>382</v>
      </c>
      <c r="AA143" s="74" t="str">
        <f t="shared" si="3"/>
        <v>&amp;</v>
      </c>
    </row>
    <row r="144" ht="14.25" customHeight="1">
      <c r="A144" s="91" t="str">
        <f t="shared" si="7"/>
        <v>https://www.vivoplay.com.br/details/movie/velozes-furiosos-15967129?utm_source=mktcloud&amp;utm_medium=emailmkt&amp;utm_campaign=##ApproachStart##-Lancamento-filme-2409-Mais-Velozes-Mais-Furiosos_vivo_b2c_servicosdigitais_servicosdigitais_duo_oferta&amp;utm_content=___&amp;utm_term=##IDPlay##_</v>
      </c>
      <c r="B144" s="92" t="s">
        <v>550</v>
      </c>
      <c r="C144" s="10" t="s">
        <v>160</v>
      </c>
      <c r="D144" s="10" t="s">
        <v>94</v>
      </c>
      <c r="E144" s="93" t="s">
        <v>551</v>
      </c>
      <c r="F144" s="10" t="s">
        <v>44</v>
      </c>
      <c r="G144" s="10" t="s">
        <v>45</v>
      </c>
      <c r="H144" s="10" t="s">
        <v>141</v>
      </c>
      <c r="I144" s="10" t="s">
        <v>141</v>
      </c>
      <c r="J144" s="10" t="s">
        <v>143</v>
      </c>
      <c r="K144" s="10" t="s">
        <v>117</v>
      </c>
      <c r="L144" s="10" t="s">
        <v>35</v>
      </c>
      <c r="M144" s="10" t="s">
        <v>36</v>
      </c>
      <c r="N144" s="10" t="s">
        <v>37</v>
      </c>
      <c r="O144" s="10" t="s">
        <v>38</v>
      </c>
      <c r="P144" s="10" t="s">
        <v>39</v>
      </c>
      <c r="Q144" s="10" t="s">
        <v>40</v>
      </c>
      <c r="R144" s="10" t="s">
        <v>41</v>
      </c>
      <c r="Y144" s="10" t="s">
        <v>382</v>
      </c>
      <c r="AA144" s="74" t="str">
        <f t="shared" si="3"/>
        <v>?</v>
      </c>
    </row>
    <row r="145" ht="14.25" customHeight="1">
      <c r="A145" s="10" t="str">
        <f>B145&amp;AA145&amp;"utm_source="&amp;C145&amp;"&amp;"&amp;"utm_medium="&amp;D145&amp;"&amp;"&amp;"utm_campaign="&amp;E145&amp;"_"&amp;F145&amp;"_"&amp;G145&amp;"_"&amp;H145&amp;"_"&amp;I145&amp;"_"&amp;J145&amp;"_"&amp;K145&amp;"&amp;"&amp;"utm_content="&amp;U146&amp;"_"&amp;V145&amp;"_"&amp;W145&amp;"_"&amp;X145&amp;"&amp;"&amp;"utm_term="&amp;Y145&amp;"_"&amp;Z145</f>
        <v>?utm_source=mktcloud&amp;utm_medium=emailmkt&amp;utm_campaign=##ApproachStart##-48horas-2109-controle _vivo_b2c_ecommerce_terminais_smart-ofertas_oferta&amp;utm_content=CTA1___&amp;utm_term=##IDPlay##_</v>
      </c>
      <c r="C145" s="10" t="s">
        <v>160</v>
      </c>
      <c r="D145" s="10" t="s">
        <v>94</v>
      </c>
      <c r="E145" s="93" t="s">
        <v>552</v>
      </c>
      <c r="F145" s="77" t="s">
        <v>44</v>
      </c>
      <c r="G145" s="77" t="s">
        <v>45</v>
      </c>
      <c r="H145" s="77" t="s">
        <v>95</v>
      </c>
      <c r="I145" s="77" t="s">
        <v>189</v>
      </c>
      <c r="J145" s="77" t="s">
        <v>243</v>
      </c>
      <c r="K145" s="77" t="s">
        <v>117</v>
      </c>
      <c r="L145" s="10" t="s">
        <v>35</v>
      </c>
      <c r="M145" s="10" t="s">
        <v>36</v>
      </c>
      <c r="N145" s="10" t="s">
        <v>37</v>
      </c>
      <c r="O145" s="10" t="s">
        <v>38</v>
      </c>
      <c r="P145" s="10" t="s">
        <v>39</v>
      </c>
      <c r="Q145" s="10" t="s">
        <v>40</v>
      </c>
      <c r="R145" s="10" t="s">
        <v>41</v>
      </c>
      <c r="Y145" s="10" t="s">
        <v>382</v>
      </c>
      <c r="AA145" s="74" t="str">
        <f t="shared" si="3"/>
        <v>?</v>
      </c>
    </row>
    <row r="146" ht="14.25" customHeight="1">
      <c r="A146" s="10" t="str">
        <f>B146&amp;AA146&amp;"utm_source="&amp;C146&amp;"&amp;"&amp;"utm_medium="&amp;D146&amp;"&amp;"&amp;"utm_campaign="&amp;E146&amp;"_"&amp;F146&amp;"_"&amp;G146&amp;"_"&amp;H146&amp;"_"&amp;I146&amp;"_"&amp;J146&amp;"_"&amp;K146&amp;"&amp;"&amp;"utm_content="&amp;#REF!&amp;"_"&amp;V146&amp;"_"&amp;W146&amp;"_"&amp;X146&amp;"&amp;"&amp;"utm_term="&amp;Y146&amp;"_"&amp;Z146</f>
        <v>#REF!</v>
      </c>
      <c r="B146" s="104"/>
      <c r="C146" s="10" t="s">
        <v>160</v>
      </c>
      <c r="D146" s="10" t="s">
        <v>94</v>
      </c>
      <c r="E146" s="93" t="s">
        <v>552</v>
      </c>
      <c r="F146" s="77" t="s">
        <v>44</v>
      </c>
      <c r="G146" s="77" t="s">
        <v>45</v>
      </c>
      <c r="H146" s="77" t="s">
        <v>95</v>
      </c>
      <c r="I146" s="77" t="s">
        <v>189</v>
      </c>
      <c r="J146" s="77" t="s">
        <v>243</v>
      </c>
      <c r="K146" s="77" t="s">
        <v>117</v>
      </c>
      <c r="L146" s="10" t="s">
        <v>35</v>
      </c>
      <c r="M146" s="10" t="s">
        <v>36</v>
      </c>
      <c r="N146" s="10" t="s">
        <v>37</v>
      </c>
      <c r="O146" s="10" t="s">
        <v>38</v>
      </c>
      <c r="P146" s="10" t="s">
        <v>39</v>
      </c>
      <c r="Q146" s="10" t="s">
        <v>40</v>
      </c>
      <c r="R146" s="10" t="s">
        <v>41</v>
      </c>
      <c r="U146" s="10" t="s">
        <v>387</v>
      </c>
      <c r="Y146" s="10" t="s">
        <v>382</v>
      </c>
      <c r="AA146" s="74" t="str">
        <f t="shared" si="3"/>
        <v>?</v>
      </c>
    </row>
    <row r="147" ht="14.25" customHeight="1">
      <c r="A147" s="10" t="str">
        <f t="shared" ref="A147:A338" si="8">B147&amp;AA147&amp;"utm_source="&amp;C147&amp;"&amp;"&amp;"utm_medium="&amp;D147&amp;"&amp;"&amp;"utm_campaign="&amp;E147&amp;"_"&amp;F147&amp;"_"&amp;G147&amp;"_"&amp;H147&amp;"_"&amp;I147&amp;"_"&amp;J147&amp;"_"&amp;K147&amp;"&amp;"&amp;"utm_content="&amp;U147&amp;"_"&amp;V147&amp;"_"&amp;W147&amp;"_"&amp;X147&amp;"&amp;"&amp;"utm_term="&amp;Y147&amp;"_"&amp;Z147</f>
        <v>http://lojaonline.vivo.com.br/vivostorefront/campaign?identifier=MOTO_E7_PLUS_CONTROLE&amp;utm_source=mktcloud&amp;utm_medium=emailmkt&amp;utm_campaign=##ApproachStart##-48horas-2109-controle _vivo_b2c_ecommerce_terminais_smart-ofertas_oferta&amp;utm_content=CTA2___&amp;utm_term=##IDPlay##_</v>
      </c>
      <c r="B147" s="92" t="s">
        <v>510</v>
      </c>
      <c r="C147" s="10" t="s">
        <v>160</v>
      </c>
      <c r="D147" s="10" t="s">
        <v>94</v>
      </c>
      <c r="E147" s="93" t="s">
        <v>552</v>
      </c>
      <c r="F147" s="77" t="s">
        <v>44</v>
      </c>
      <c r="G147" s="77" t="s">
        <v>45</v>
      </c>
      <c r="H147" s="77" t="s">
        <v>95</v>
      </c>
      <c r="I147" s="77" t="s">
        <v>189</v>
      </c>
      <c r="J147" s="77" t="s">
        <v>243</v>
      </c>
      <c r="K147" s="77" t="s">
        <v>117</v>
      </c>
      <c r="L147" s="10" t="s">
        <v>35</v>
      </c>
      <c r="M147" s="10" t="s">
        <v>36</v>
      </c>
      <c r="N147" s="10" t="s">
        <v>37</v>
      </c>
      <c r="O147" s="10" t="s">
        <v>38</v>
      </c>
      <c r="P147" s="10" t="s">
        <v>39</v>
      </c>
      <c r="Q147" s="10" t="s">
        <v>40</v>
      </c>
      <c r="R147" s="10" t="s">
        <v>41</v>
      </c>
      <c r="U147" s="93" t="s">
        <v>393</v>
      </c>
      <c r="Y147" s="10" t="s">
        <v>382</v>
      </c>
      <c r="AA147" s="74" t="str">
        <f t="shared" si="3"/>
        <v>&amp;</v>
      </c>
    </row>
    <row r="148" ht="14.25" customHeight="1">
      <c r="A148" s="10" t="str">
        <f t="shared" si="8"/>
        <v>https://www.vivo.com.br/para-voce/ajuda/mais-ajuda/encontre-uma-loja?utm_source=mktcloud&amp;utm_medium=emailmkt&amp;utm_campaign=##ApproachStart##-48horas-2109-controle _vivo_b2c_ecommerce_terminais_smart-ofertas_oferta&amp;utm_content=___&amp;utm_term=##IDPlay##_</v>
      </c>
      <c r="B148" s="92" t="s">
        <v>449</v>
      </c>
      <c r="C148" s="10" t="s">
        <v>160</v>
      </c>
      <c r="D148" s="10" t="s">
        <v>94</v>
      </c>
      <c r="E148" s="93" t="s">
        <v>552</v>
      </c>
      <c r="F148" s="77" t="s">
        <v>44</v>
      </c>
      <c r="G148" s="77" t="s">
        <v>45</v>
      </c>
      <c r="H148" s="77" t="s">
        <v>95</v>
      </c>
      <c r="I148" s="77" t="s">
        <v>189</v>
      </c>
      <c r="J148" s="77" t="s">
        <v>243</v>
      </c>
      <c r="K148" s="77" t="s">
        <v>117</v>
      </c>
      <c r="L148" s="10" t="s">
        <v>35</v>
      </c>
      <c r="M148" s="10" t="s">
        <v>36</v>
      </c>
      <c r="N148" s="10" t="s">
        <v>37</v>
      </c>
      <c r="O148" s="10" t="s">
        <v>38</v>
      </c>
      <c r="P148" s="10" t="s">
        <v>39</v>
      </c>
      <c r="Q148" s="10" t="s">
        <v>40</v>
      </c>
      <c r="R148" s="10" t="s">
        <v>41</v>
      </c>
      <c r="U148" s="10"/>
      <c r="Y148" s="10" t="s">
        <v>382</v>
      </c>
      <c r="AA148" s="74" t="str">
        <f t="shared" si="3"/>
        <v>?</v>
      </c>
    </row>
    <row r="149" ht="14.25" customHeight="1">
      <c r="A149" s="91" t="str">
        <f t="shared" si="8"/>
        <v>https://www.vivo.com.br/para-voce/ajuda/mais-ajuda/encontre-uma-loja?utm_source=mktcloud&amp;utm_medium=emailmkt&amp;utm_campaign=##ApproachStart##-48horas-2109-pos_vivo_b2c_ecommerce_terminais_smart-ofertas_oferta&amp;utm_content=___&amp;utm_term=##IDPlay##_</v>
      </c>
      <c r="B149" s="92" t="s">
        <v>449</v>
      </c>
      <c r="C149" s="10" t="s">
        <v>160</v>
      </c>
      <c r="D149" s="10" t="s">
        <v>94</v>
      </c>
      <c r="E149" s="93" t="s">
        <v>553</v>
      </c>
      <c r="F149" s="77" t="s">
        <v>44</v>
      </c>
      <c r="G149" s="77" t="s">
        <v>45</v>
      </c>
      <c r="H149" s="77" t="s">
        <v>95</v>
      </c>
      <c r="I149" s="77" t="s">
        <v>189</v>
      </c>
      <c r="J149" s="77" t="s">
        <v>243</v>
      </c>
      <c r="K149" s="77" t="s">
        <v>117</v>
      </c>
      <c r="L149" s="10" t="s">
        <v>35</v>
      </c>
      <c r="M149" s="10" t="s">
        <v>36</v>
      </c>
      <c r="N149" s="10" t="s">
        <v>37</v>
      </c>
      <c r="O149" s="10" t="s">
        <v>38</v>
      </c>
      <c r="P149" s="10" t="s">
        <v>39</v>
      </c>
      <c r="Q149" s="10" t="s">
        <v>40</v>
      </c>
      <c r="R149" s="10" t="s">
        <v>41</v>
      </c>
      <c r="U149" s="10"/>
      <c r="Y149" s="10" t="s">
        <v>382</v>
      </c>
      <c r="AA149" s="74" t="str">
        <f t="shared" si="3"/>
        <v>?</v>
      </c>
    </row>
    <row r="150" ht="14.25" customHeight="1">
      <c r="A150" s="91" t="str">
        <f t="shared" si="8"/>
        <v>http://lojaonline.vivo.com.br/vivostorefront/campaign?identifier=S20FE_Netflix&amp;utm_source=mktcloud&amp;utm_medium=emailmkt&amp;utm_campaign=##ApproachStart##-48horas-2109-pos_vivo_b2c_ecommerce_terminais_smart-ofertas_oferta&amp;utm_content=CTA1___&amp;utm_term=##IDPlay##_</v>
      </c>
      <c r="B150" s="92" t="s">
        <v>554</v>
      </c>
      <c r="C150" s="10" t="s">
        <v>160</v>
      </c>
      <c r="D150" s="10" t="s">
        <v>94</v>
      </c>
      <c r="E150" s="93" t="s">
        <v>553</v>
      </c>
      <c r="F150" s="77" t="s">
        <v>44</v>
      </c>
      <c r="G150" s="77" t="s">
        <v>45</v>
      </c>
      <c r="H150" s="77" t="s">
        <v>95</v>
      </c>
      <c r="I150" s="77" t="s">
        <v>189</v>
      </c>
      <c r="J150" s="77" t="s">
        <v>243</v>
      </c>
      <c r="K150" s="77" t="s">
        <v>117</v>
      </c>
      <c r="L150" s="10" t="s">
        <v>35</v>
      </c>
      <c r="M150" s="10" t="s">
        <v>36</v>
      </c>
      <c r="N150" s="10" t="s">
        <v>37</v>
      </c>
      <c r="O150" s="10" t="s">
        <v>38</v>
      </c>
      <c r="P150" s="10" t="s">
        <v>39</v>
      </c>
      <c r="Q150" s="10" t="s">
        <v>40</v>
      </c>
      <c r="R150" s="10" t="s">
        <v>41</v>
      </c>
      <c r="U150" s="10" t="s">
        <v>387</v>
      </c>
      <c r="Y150" s="10" t="s">
        <v>382</v>
      </c>
      <c r="AA150" s="74" t="str">
        <f t="shared" si="3"/>
        <v>&amp;</v>
      </c>
    </row>
    <row r="151" ht="14.25" customHeight="1">
      <c r="A151" s="91" t="str">
        <f t="shared" si="8"/>
        <v>https://lojaonline.vivo.com.br/vivostorefront/p/22018825?utm_source=mktcloud&amp;utm_medium=emailmkt&amp;utm_campaign=##ApproachStart##-48horas-2109-pos_vivo_b2c_ecommerce_terminais_smart-ofertas_oferta&amp;utm_content=CTA2___&amp;utm_term=##IDPlay##_</v>
      </c>
      <c r="B151" s="92" t="s">
        <v>555</v>
      </c>
      <c r="C151" s="10" t="s">
        <v>160</v>
      </c>
      <c r="D151" s="10" t="s">
        <v>94</v>
      </c>
      <c r="E151" s="93" t="s">
        <v>553</v>
      </c>
      <c r="F151" s="77" t="s">
        <v>44</v>
      </c>
      <c r="G151" s="77" t="s">
        <v>45</v>
      </c>
      <c r="H151" s="77" t="s">
        <v>95</v>
      </c>
      <c r="I151" s="77" t="s">
        <v>189</v>
      </c>
      <c r="J151" s="77" t="s">
        <v>243</v>
      </c>
      <c r="K151" s="77" t="s">
        <v>117</v>
      </c>
      <c r="L151" s="10" t="s">
        <v>35</v>
      </c>
      <c r="M151" s="10" t="s">
        <v>36</v>
      </c>
      <c r="N151" s="10" t="s">
        <v>37</v>
      </c>
      <c r="O151" s="10" t="s">
        <v>38</v>
      </c>
      <c r="P151" s="10" t="s">
        <v>39</v>
      </c>
      <c r="Q151" s="10" t="s">
        <v>40</v>
      </c>
      <c r="R151" s="10" t="s">
        <v>41</v>
      </c>
      <c r="U151" s="10" t="s">
        <v>393</v>
      </c>
      <c r="Y151" s="10" t="s">
        <v>382</v>
      </c>
      <c r="AA151" s="74" t="str">
        <f t="shared" si="3"/>
        <v>?</v>
      </c>
    </row>
    <row r="152" ht="14.25" customHeight="1">
      <c r="A152" s="91" t="str">
        <f t="shared" si="8"/>
        <v>https://www.vivo.com.br/para-voce/por-que-vivo/vivo-valoriza/resgates-inesqueciveis/resgate-shark-tank-brasil?utm_source=mktcloud&amp;utm_medium=emailmkt&amp;utm_campaign=##ApproachStart##-Valoriza-resgate-Shark-Tank_vivo_b2c_institucional_valoriza_duo_relacionamento&amp;utm_content=___&amp;utm_term=##IDPlay##_</v>
      </c>
      <c r="B152" s="95" t="s">
        <v>556</v>
      </c>
      <c r="C152" s="10" t="s">
        <v>160</v>
      </c>
      <c r="D152" s="10" t="s">
        <v>94</v>
      </c>
      <c r="E152" s="93" t="s">
        <v>557</v>
      </c>
      <c r="F152" s="77" t="s">
        <v>44</v>
      </c>
      <c r="G152" s="77" t="s">
        <v>45</v>
      </c>
      <c r="H152" s="93" t="s">
        <v>115</v>
      </c>
      <c r="I152" s="93" t="s">
        <v>199</v>
      </c>
      <c r="J152" s="93" t="s">
        <v>143</v>
      </c>
      <c r="K152" s="93" t="s">
        <v>144</v>
      </c>
      <c r="L152" s="10" t="s">
        <v>35</v>
      </c>
      <c r="M152" s="10" t="s">
        <v>36</v>
      </c>
      <c r="N152" s="10" t="s">
        <v>37</v>
      </c>
      <c r="O152" s="10" t="s">
        <v>38</v>
      </c>
      <c r="P152" s="10" t="s">
        <v>39</v>
      </c>
      <c r="Q152" s="10" t="s">
        <v>40</v>
      </c>
      <c r="R152" s="10" t="s">
        <v>41</v>
      </c>
      <c r="Y152" s="10" t="s">
        <v>382</v>
      </c>
      <c r="AA152" s="74" t="str">
        <f t="shared" si="3"/>
        <v>?</v>
      </c>
    </row>
    <row r="153" ht="14.25" customHeight="1">
      <c r="A153" s="91" t="str">
        <f t="shared" si="8"/>
        <v>https://www.vivo.com.br/para-voce/produtos-e-servicos/smartphones/ofertas/galaxy-z-fold3-z-flip3?utm_source=mktcloud&amp;utm_medium=emailmkt&amp;utm_campaign=##ApproachStart##-Pre-venda-Samsumg-ZFold3-ZFlip3_vivo_b2c_ecommerce_terminais_duo_lancamento&amp;utm_content=___&amp;utm_term=##IDPlay##_</v>
      </c>
      <c r="B153" s="95" t="s">
        <v>558</v>
      </c>
      <c r="C153" s="10" t="s">
        <v>160</v>
      </c>
      <c r="D153" s="10" t="s">
        <v>94</v>
      </c>
      <c r="E153" s="93" t="s">
        <v>559</v>
      </c>
      <c r="F153" s="77" t="s">
        <v>44</v>
      </c>
      <c r="G153" s="77" t="s">
        <v>45</v>
      </c>
      <c r="H153" s="93" t="s">
        <v>95</v>
      </c>
      <c r="I153" s="93" t="s">
        <v>189</v>
      </c>
      <c r="J153" s="93" t="s">
        <v>143</v>
      </c>
      <c r="K153" s="93" t="s">
        <v>98</v>
      </c>
      <c r="L153" s="10" t="s">
        <v>35</v>
      </c>
      <c r="M153" s="10" t="s">
        <v>36</v>
      </c>
      <c r="N153" s="10" t="s">
        <v>37</v>
      </c>
      <c r="O153" s="10" t="s">
        <v>38</v>
      </c>
      <c r="P153" s="10" t="s">
        <v>39</v>
      </c>
      <c r="Q153" s="10" t="s">
        <v>40</v>
      </c>
      <c r="R153" s="10" t="s">
        <v>41</v>
      </c>
      <c r="Y153" s="10" t="s">
        <v>382</v>
      </c>
      <c r="AA153" s="74" t="str">
        <f t="shared" si="3"/>
        <v>?</v>
      </c>
    </row>
    <row r="154" ht="14.25" customHeight="1">
      <c r="A154" s="10" t="str">
        <f t="shared" si="8"/>
        <v>?utm_source=selecione&amp;utm_medium=selecione&amp;utm_campaign=##ApproachStart##-_selecione_selecione_selecione_selecione_selecione_selecione&amp;utm_content=___&amp;utm_term=##IDPlay##_</v>
      </c>
      <c r="C154" s="10" t="s">
        <v>34</v>
      </c>
      <c r="D154" s="10" t="s">
        <v>34</v>
      </c>
      <c r="E154" s="93" t="s">
        <v>560</v>
      </c>
      <c r="F154" s="10" t="s">
        <v>34</v>
      </c>
      <c r="G154" s="10" t="s">
        <v>34</v>
      </c>
      <c r="H154" s="10" t="s">
        <v>34</v>
      </c>
      <c r="I154" s="10" t="s">
        <v>34</v>
      </c>
      <c r="J154" s="10" t="s">
        <v>34</v>
      </c>
      <c r="K154" s="10" t="s">
        <v>34</v>
      </c>
      <c r="L154" s="10" t="s">
        <v>35</v>
      </c>
      <c r="M154" s="10" t="s">
        <v>36</v>
      </c>
      <c r="N154" s="10" t="s">
        <v>37</v>
      </c>
      <c r="O154" s="10" t="s">
        <v>38</v>
      </c>
      <c r="P154" s="10" t="s">
        <v>39</v>
      </c>
      <c r="Q154" s="10" t="s">
        <v>40</v>
      </c>
      <c r="R154" s="10" t="s">
        <v>41</v>
      </c>
      <c r="Y154" s="10" t="s">
        <v>382</v>
      </c>
      <c r="AA154" s="74" t="str">
        <f t="shared" si="3"/>
        <v>?</v>
      </c>
    </row>
    <row r="155" ht="14.25" customHeight="1">
      <c r="A155" s="91" t="str">
        <f t="shared" si="8"/>
        <v>http://lojaonline.vivo.com.br/vivostorefront/campaign?identifier=E7power&amp;utm_source=mktcloud&amp;utm_medium=emailmkt&amp;utm_campaign=##ApproachStart##-Smartofertas-23-29set_vivo_b2c_movel_terminais_smart-ofertas_oferta&amp;utm_content=CTA3___&amp;utm_term=##IDPlay##_</v>
      </c>
      <c r="B155" s="95" t="s">
        <v>561</v>
      </c>
      <c r="C155" s="93" t="s">
        <v>160</v>
      </c>
      <c r="D155" s="93" t="s">
        <v>94</v>
      </c>
      <c r="E155" s="105" t="s">
        <v>562</v>
      </c>
      <c r="F155" s="93" t="s">
        <v>44</v>
      </c>
      <c r="G155" s="93" t="s">
        <v>45</v>
      </c>
      <c r="H155" s="93" t="s">
        <v>124</v>
      </c>
      <c r="I155" s="93" t="s">
        <v>189</v>
      </c>
      <c r="J155" s="93" t="s">
        <v>243</v>
      </c>
      <c r="K155" s="93" t="s">
        <v>117</v>
      </c>
      <c r="L155" s="10" t="s">
        <v>35</v>
      </c>
      <c r="M155" s="10" t="s">
        <v>36</v>
      </c>
      <c r="N155" s="10" t="s">
        <v>37</v>
      </c>
      <c r="O155" s="10" t="s">
        <v>38</v>
      </c>
      <c r="P155" s="10" t="s">
        <v>39</v>
      </c>
      <c r="Q155" s="10" t="s">
        <v>40</v>
      </c>
      <c r="R155" s="10" t="s">
        <v>41</v>
      </c>
      <c r="U155" s="93" t="s">
        <v>395</v>
      </c>
      <c r="Y155" s="10" t="s">
        <v>382</v>
      </c>
      <c r="AA155" s="74" t="str">
        <f t="shared" si="3"/>
        <v>&amp;</v>
      </c>
    </row>
    <row r="156" ht="14.25" customHeight="1">
      <c r="A156" s="91" t="str">
        <f t="shared" si="8"/>
        <v>https://appstore.vivo.com.br/sc/br/vivostore/lp/d7244136-259e-4660-bdef-0472c41d2cc6/?utm_source=mktcloud&amp;utm_medium=emailmkt&amp;utm_campaign=##ApproachStart##-Combo-disney-star_vivo_b2c_movel_tv_fixa_oferta&amp;utm_content=___&amp;utm_term=##IDPlay##_</v>
      </c>
      <c r="B156" s="92" t="s">
        <v>563</v>
      </c>
      <c r="C156" s="93" t="s">
        <v>160</v>
      </c>
      <c r="D156" s="93" t="s">
        <v>94</v>
      </c>
      <c r="E156" s="97" t="s">
        <v>564</v>
      </c>
      <c r="F156" s="93" t="s">
        <v>44</v>
      </c>
      <c r="G156" s="93" t="s">
        <v>45</v>
      </c>
      <c r="H156" s="93" t="s">
        <v>124</v>
      </c>
      <c r="I156" s="93" t="s">
        <v>195</v>
      </c>
      <c r="J156" s="93" t="s">
        <v>108</v>
      </c>
      <c r="K156" s="93" t="s">
        <v>117</v>
      </c>
      <c r="L156" s="10" t="s">
        <v>35</v>
      </c>
      <c r="M156" s="10" t="s">
        <v>36</v>
      </c>
      <c r="N156" s="10" t="s">
        <v>37</v>
      </c>
      <c r="O156" s="10" t="s">
        <v>38</v>
      </c>
      <c r="P156" s="10" t="s">
        <v>39</v>
      </c>
      <c r="Q156" s="10" t="s">
        <v>40</v>
      </c>
      <c r="R156" s="10" t="s">
        <v>41</v>
      </c>
      <c r="Y156" s="10" t="s">
        <v>382</v>
      </c>
      <c r="AA156" s="74" t="str">
        <f t="shared" si="3"/>
        <v>?</v>
      </c>
    </row>
    <row r="157" ht="14.25" customHeight="1">
      <c r="A157" s="91" t="str">
        <f t="shared" si="8"/>
        <v>https://www.vivo.com.br/para-voce/produtos-e-servicos/ofertas/vivo-pets?utm_source=mktcloud&amp;utm_medium=emailmkt&amp;utm_campaign=##ApproachStart##-Iniciativas-Vivo-Pets-Conheca_vivo_b2c_institucional_institucional_duo_relacionamento&amp;utm_content=___&amp;utm_term=##IDPlay##_</v>
      </c>
      <c r="B157" s="106" t="s">
        <v>565</v>
      </c>
      <c r="C157" s="10" t="s">
        <v>160</v>
      </c>
      <c r="D157" s="10" t="s">
        <v>94</v>
      </c>
      <c r="E157" s="93" t="s">
        <v>566</v>
      </c>
      <c r="F157" s="10" t="s">
        <v>44</v>
      </c>
      <c r="G157" s="10" t="s">
        <v>45</v>
      </c>
      <c r="H157" s="93" t="s">
        <v>115</v>
      </c>
      <c r="I157" s="93" t="s">
        <v>115</v>
      </c>
      <c r="J157" s="10" t="s">
        <v>143</v>
      </c>
      <c r="K157" s="93" t="s">
        <v>144</v>
      </c>
      <c r="L157" s="10" t="s">
        <v>35</v>
      </c>
      <c r="M157" s="10" t="s">
        <v>36</v>
      </c>
      <c r="N157" s="10" t="s">
        <v>37</v>
      </c>
      <c r="O157" s="10" t="s">
        <v>38</v>
      </c>
      <c r="P157" s="10" t="s">
        <v>39</v>
      </c>
      <c r="Q157" s="10" t="s">
        <v>40</v>
      </c>
      <c r="R157" s="10" t="s">
        <v>41</v>
      </c>
      <c r="Y157" s="10" t="s">
        <v>382</v>
      </c>
      <c r="AA157" s="74" t="str">
        <f t="shared" si="3"/>
        <v>?</v>
      </c>
    </row>
    <row r="158" ht="14.25" customHeight="1">
      <c r="A158" s="91" t="str">
        <f t="shared" si="8"/>
        <v>https://meu.vivo/XQZm/vvadtpet?utm_source=mktcloud&amp;utm_medium=emailmkt&amp;utm_campaign=##ApproachStart##-Iniciativas-Vivo-Pets-Adocao_vivo_b2c_institucional_institucional_duo_relacionamento&amp;utm_content=___&amp;utm_term=##IDPlay##_</v>
      </c>
      <c r="B158" s="106" t="s">
        <v>567</v>
      </c>
      <c r="C158" s="10" t="s">
        <v>160</v>
      </c>
      <c r="D158" s="10" t="s">
        <v>94</v>
      </c>
      <c r="E158" s="93" t="s">
        <v>568</v>
      </c>
      <c r="F158" s="10" t="s">
        <v>44</v>
      </c>
      <c r="G158" s="10" t="s">
        <v>45</v>
      </c>
      <c r="H158" s="93" t="s">
        <v>115</v>
      </c>
      <c r="I158" s="93" t="s">
        <v>115</v>
      </c>
      <c r="J158" s="10" t="s">
        <v>143</v>
      </c>
      <c r="K158" s="93" t="s">
        <v>144</v>
      </c>
      <c r="L158" s="10" t="s">
        <v>35</v>
      </c>
      <c r="M158" s="10" t="s">
        <v>36</v>
      </c>
      <c r="N158" s="10" t="s">
        <v>37</v>
      </c>
      <c r="O158" s="10" t="s">
        <v>38</v>
      </c>
      <c r="P158" s="10" t="s">
        <v>39</v>
      </c>
      <c r="Q158" s="10" t="s">
        <v>40</v>
      </c>
      <c r="R158" s="10" t="s">
        <v>41</v>
      </c>
      <c r="Y158" s="10" t="s">
        <v>382</v>
      </c>
      <c r="AA158" s="74" t="str">
        <f t="shared" si="3"/>
        <v>?</v>
      </c>
    </row>
    <row r="159" ht="14.25" customHeight="1">
      <c r="A159" s="91" t="str">
        <f t="shared" si="8"/>
        <v>https://lojaonline.vivo.com.br/vivostorefront/Vivo/Acess%C3%B3rios/Casa-Conectada/c/casaconectada?_ga=2.220122905.1404481060.1632138280-1464776913.1631904048&amp;utm_source=mktcloud&amp;utm_medium=emailmkt&amp;utm_campaign=##ApproachStart##-Iniciativas-Vivo-Pets-Pet-Tech_vivo_b2c_institucional_institucional_duo_relacionamento&amp;utm_content=___&amp;utm_term=##IDPlay##_</v>
      </c>
      <c r="B159" s="106" t="s">
        <v>569</v>
      </c>
      <c r="C159" s="10" t="s">
        <v>160</v>
      </c>
      <c r="D159" s="10" t="s">
        <v>94</v>
      </c>
      <c r="E159" s="93" t="s">
        <v>570</v>
      </c>
      <c r="F159" s="10" t="s">
        <v>44</v>
      </c>
      <c r="G159" s="10" t="s">
        <v>45</v>
      </c>
      <c r="H159" s="93" t="s">
        <v>115</v>
      </c>
      <c r="I159" s="93" t="s">
        <v>115</v>
      </c>
      <c r="J159" s="10" t="s">
        <v>143</v>
      </c>
      <c r="K159" s="93" t="s">
        <v>144</v>
      </c>
      <c r="L159" s="10" t="s">
        <v>35</v>
      </c>
      <c r="M159" s="10" t="s">
        <v>36</v>
      </c>
      <c r="N159" s="10" t="s">
        <v>37</v>
      </c>
      <c r="O159" s="10" t="s">
        <v>38</v>
      </c>
      <c r="P159" s="10" t="s">
        <v>39</v>
      </c>
      <c r="Q159" s="10" t="s">
        <v>40</v>
      </c>
      <c r="R159" s="10" t="s">
        <v>41</v>
      </c>
      <c r="Y159" s="10" t="s">
        <v>382</v>
      </c>
      <c r="AA159" s="74" t="str">
        <f t="shared" si="3"/>
        <v>&amp;</v>
      </c>
    </row>
    <row r="160" ht="14.25" customHeight="1">
      <c r="A160" s="91" t="str">
        <f t="shared" si="8"/>
        <v>https://www.loja.vivo.com.br/vivo-pets?_ga=2.220122905.1404481060.1632138280-1464776913.1631904048&amp;utm_source=mktcloud&amp;utm_medium=emailmkt&amp;utm_campaign=##ApproachStart##-Iniciativas-Vivo-Pets-Vivo-Shopping_vivo_b2c_institucional_institucional_duo_relacionamento&amp;utm_content=___&amp;utm_term=##IDPlay##_</v>
      </c>
      <c r="B160" s="106" t="s">
        <v>571</v>
      </c>
      <c r="C160" s="10" t="s">
        <v>160</v>
      </c>
      <c r="D160" s="10" t="s">
        <v>94</v>
      </c>
      <c r="E160" s="93" t="s">
        <v>572</v>
      </c>
      <c r="F160" s="10" t="s">
        <v>44</v>
      </c>
      <c r="G160" s="10" t="s">
        <v>45</v>
      </c>
      <c r="H160" s="93" t="s">
        <v>115</v>
      </c>
      <c r="I160" s="93" t="s">
        <v>115</v>
      </c>
      <c r="J160" s="10" t="s">
        <v>143</v>
      </c>
      <c r="K160" s="93" t="s">
        <v>144</v>
      </c>
      <c r="L160" s="10" t="s">
        <v>35</v>
      </c>
      <c r="M160" s="10" t="s">
        <v>36</v>
      </c>
      <c r="N160" s="10" t="s">
        <v>37</v>
      </c>
      <c r="O160" s="10" t="s">
        <v>38</v>
      </c>
      <c r="P160" s="10" t="s">
        <v>39</v>
      </c>
      <c r="Q160" s="10" t="s">
        <v>40</v>
      </c>
      <c r="R160" s="10" t="s">
        <v>41</v>
      </c>
      <c r="Y160" s="10" t="s">
        <v>382</v>
      </c>
      <c r="AA160" s="74" t="str">
        <f t="shared" si="3"/>
        <v>&amp;</v>
      </c>
    </row>
    <row r="161" ht="14.25" customHeight="1">
      <c r="A161" s="91" t="str">
        <f t="shared" si="8"/>
        <v>https://www.vivo.com.br/para-voce/produtos-e-servicos/ofertas/vivo-pets?utm_source=mktcloud&amp;utm_medium=emailmkt&amp;utm_campaign=##ApproachStart##-Iniciativas-Vivo-Pets-Loja-Pet-Friendly_vivo_b2c_institucional_institucional_duo_relacionamento&amp;utm_content=___&amp;utm_term=##IDPlay##_</v>
      </c>
      <c r="B161" s="106" t="s">
        <v>565</v>
      </c>
      <c r="C161" s="10" t="s">
        <v>160</v>
      </c>
      <c r="D161" s="10" t="s">
        <v>94</v>
      </c>
      <c r="E161" s="93" t="s">
        <v>573</v>
      </c>
      <c r="F161" s="10" t="s">
        <v>44</v>
      </c>
      <c r="G161" s="10" t="s">
        <v>45</v>
      </c>
      <c r="H161" s="93" t="s">
        <v>115</v>
      </c>
      <c r="I161" s="93" t="s">
        <v>115</v>
      </c>
      <c r="J161" s="10" t="s">
        <v>143</v>
      </c>
      <c r="K161" s="93" t="s">
        <v>144</v>
      </c>
      <c r="L161" s="10" t="s">
        <v>35</v>
      </c>
      <c r="M161" s="10" t="s">
        <v>36</v>
      </c>
      <c r="N161" s="10" t="s">
        <v>37</v>
      </c>
      <c r="O161" s="10" t="s">
        <v>38</v>
      </c>
      <c r="P161" s="10" t="s">
        <v>39</v>
      </c>
      <c r="Q161" s="10" t="s">
        <v>40</v>
      </c>
      <c r="R161" s="10" t="s">
        <v>41</v>
      </c>
      <c r="Y161" s="10" t="s">
        <v>382</v>
      </c>
      <c r="AA161" s="74" t="str">
        <f t="shared" si="3"/>
        <v>?</v>
      </c>
    </row>
    <row r="162" ht="14.25" customHeight="1">
      <c r="A162" s="10" t="str">
        <f t="shared" si="8"/>
        <v>?utm_source=mktcloud&amp;utm_medium=emailmkt&amp;utm_campaign=##ApproachStart##-Tracking-Vendas-Movel-Status-Compra_vivo_b2b_movel_institucional_movel_relacionamento&amp;utm_content=___&amp;utm_term=##IDPlay##_</v>
      </c>
      <c r="C162" s="10" t="s">
        <v>160</v>
      </c>
      <c r="D162" s="10" t="s">
        <v>94</v>
      </c>
      <c r="E162" s="93" t="s">
        <v>574</v>
      </c>
      <c r="F162" s="93" t="s">
        <v>44</v>
      </c>
      <c r="G162" s="93" t="s">
        <v>64</v>
      </c>
      <c r="H162" s="93" t="s">
        <v>124</v>
      </c>
      <c r="I162" s="93" t="s">
        <v>115</v>
      </c>
      <c r="J162" s="93" t="s">
        <v>124</v>
      </c>
      <c r="K162" s="93" t="s">
        <v>144</v>
      </c>
      <c r="L162" s="10" t="s">
        <v>35</v>
      </c>
      <c r="M162" s="10" t="s">
        <v>36</v>
      </c>
      <c r="N162" s="10" t="s">
        <v>37</v>
      </c>
      <c r="O162" s="10" t="s">
        <v>38</v>
      </c>
      <c r="P162" s="10" t="s">
        <v>39</v>
      </c>
      <c r="Q162" s="10" t="s">
        <v>40</v>
      </c>
      <c r="R162" s="10" t="s">
        <v>41</v>
      </c>
      <c r="Y162" s="10" t="s">
        <v>382</v>
      </c>
      <c r="AA162" s="74" t="str">
        <f t="shared" si="3"/>
        <v>?</v>
      </c>
    </row>
    <row r="163" ht="14.25" customHeight="1">
      <c r="A163" s="10" t="str">
        <f t="shared" si="8"/>
        <v>?utm_source=mktcloud&amp;utm_medium=emailmkt&amp;utm_campaign=##ApproachStart##-Tracking-Vendas-Movel-Status-Cancelamento_vivo_b2b_movel_institucional_movel_relacionamento&amp;utm_content=___&amp;utm_term=##IDPlay##_</v>
      </c>
      <c r="C163" s="10" t="s">
        <v>160</v>
      </c>
      <c r="D163" s="10" t="s">
        <v>94</v>
      </c>
      <c r="E163" s="93" t="s">
        <v>575</v>
      </c>
      <c r="F163" s="93" t="s">
        <v>44</v>
      </c>
      <c r="G163" s="93" t="s">
        <v>64</v>
      </c>
      <c r="H163" s="93" t="s">
        <v>124</v>
      </c>
      <c r="I163" s="93" t="s">
        <v>115</v>
      </c>
      <c r="J163" s="93" t="s">
        <v>124</v>
      </c>
      <c r="K163" s="93" t="s">
        <v>144</v>
      </c>
      <c r="L163" s="10" t="s">
        <v>35</v>
      </c>
      <c r="M163" s="10" t="s">
        <v>36</v>
      </c>
      <c r="N163" s="10" t="s">
        <v>37</v>
      </c>
      <c r="O163" s="10" t="s">
        <v>38</v>
      </c>
      <c r="P163" s="10" t="s">
        <v>39</v>
      </c>
      <c r="Q163" s="10" t="s">
        <v>40</v>
      </c>
      <c r="R163" s="10" t="s">
        <v>41</v>
      </c>
      <c r="Y163" s="10" t="s">
        <v>382</v>
      </c>
      <c r="AA163" s="74" t="str">
        <f t="shared" si="3"/>
        <v>?</v>
      </c>
    </row>
    <row r="164" ht="14.25" customHeight="1">
      <c r="A164" s="10" t="str">
        <f t="shared" si="8"/>
        <v>?utm_source=mktcloud&amp;utm_medium=emailmkt&amp;utm_campaign=##ApproachStart##-Tracking-Vendas-Movel-Entrega-Nao-Concluida_vivo_b2b_movel_institucional_movel_relacionamento&amp;utm_content=___&amp;utm_term=##IDPlay##_</v>
      </c>
      <c r="C164" s="10" t="s">
        <v>160</v>
      </c>
      <c r="D164" s="10" t="s">
        <v>94</v>
      </c>
      <c r="E164" s="93" t="s">
        <v>576</v>
      </c>
      <c r="F164" s="93" t="s">
        <v>44</v>
      </c>
      <c r="G164" s="93" t="s">
        <v>64</v>
      </c>
      <c r="H164" s="93" t="s">
        <v>124</v>
      </c>
      <c r="I164" s="93" t="s">
        <v>115</v>
      </c>
      <c r="J164" s="93" t="s">
        <v>124</v>
      </c>
      <c r="K164" s="93" t="s">
        <v>144</v>
      </c>
      <c r="L164" s="10" t="s">
        <v>35</v>
      </c>
      <c r="M164" s="10" t="s">
        <v>36</v>
      </c>
      <c r="N164" s="10" t="s">
        <v>37</v>
      </c>
      <c r="O164" s="10" t="s">
        <v>38</v>
      </c>
      <c r="P164" s="10" t="s">
        <v>39</v>
      </c>
      <c r="Q164" s="10" t="s">
        <v>40</v>
      </c>
      <c r="R164" s="10" t="s">
        <v>41</v>
      </c>
      <c r="Y164" s="10" t="s">
        <v>382</v>
      </c>
      <c r="AA164" s="74" t="str">
        <f t="shared" si="3"/>
        <v>?</v>
      </c>
    </row>
    <row r="165" ht="14.25" customHeight="1">
      <c r="A165" s="10" t="str">
        <f t="shared" si="8"/>
        <v>?utm_source=mktcloud&amp;utm_medium=emailmkt&amp;utm_campaign=##ApproachStart##-Tracking-Vendas-Movel-Aviso-Importante_vivo_b2b_movel_institucional_movel_relacionamento&amp;utm_content=___&amp;utm_term=##IDPlay##_</v>
      </c>
      <c r="C165" s="10" t="s">
        <v>160</v>
      </c>
      <c r="D165" s="10" t="s">
        <v>94</v>
      </c>
      <c r="E165" s="93" t="s">
        <v>577</v>
      </c>
      <c r="F165" s="93" t="s">
        <v>44</v>
      </c>
      <c r="G165" s="93" t="s">
        <v>64</v>
      </c>
      <c r="H165" s="93" t="s">
        <v>124</v>
      </c>
      <c r="I165" s="93" t="s">
        <v>115</v>
      </c>
      <c r="J165" s="93" t="s">
        <v>124</v>
      </c>
      <c r="K165" s="93" t="s">
        <v>144</v>
      </c>
      <c r="L165" s="10" t="s">
        <v>35</v>
      </c>
      <c r="M165" s="10" t="s">
        <v>36</v>
      </c>
      <c r="N165" s="10" t="s">
        <v>37</v>
      </c>
      <c r="O165" s="10" t="s">
        <v>38</v>
      </c>
      <c r="P165" s="10" t="s">
        <v>39</v>
      </c>
      <c r="Q165" s="10" t="s">
        <v>40</v>
      </c>
      <c r="R165" s="10" t="s">
        <v>41</v>
      </c>
      <c r="Y165" s="10" t="s">
        <v>382</v>
      </c>
      <c r="AA165" s="74" t="str">
        <f t="shared" si="3"/>
        <v>?</v>
      </c>
    </row>
    <row r="166" ht="14.25" customHeight="1">
      <c r="A166" s="10" t="str">
        <f t="shared" si="8"/>
        <v>?utm_source=mktcloud&amp;utm_medium=emailmkt&amp;utm_campaign=##ApproachStart##-Tracking-Vendas-Movel-Pedido-Faturado_vivo_b2b_movel_institucional_movel_relacionamento&amp;utm_content=___&amp;utm_term=##IDPlay##_</v>
      </c>
      <c r="C166" s="10" t="s">
        <v>160</v>
      </c>
      <c r="D166" s="10" t="s">
        <v>94</v>
      </c>
      <c r="E166" s="93" t="s">
        <v>578</v>
      </c>
      <c r="F166" s="93" t="s">
        <v>44</v>
      </c>
      <c r="G166" s="93" t="s">
        <v>64</v>
      </c>
      <c r="H166" s="93" t="s">
        <v>124</v>
      </c>
      <c r="I166" s="93" t="s">
        <v>115</v>
      </c>
      <c r="J166" s="93" t="s">
        <v>124</v>
      </c>
      <c r="K166" s="93" t="s">
        <v>144</v>
      </c>
      <c r="L166" s="10" t="s">
        <v>35</v>
      </c>
      <c r="M166" s="10" t="s">
        <v>36</v>
      </c>
      <c r="N166" s="10" t="s">
        <v>37</v>
      </c>
      <c r="O166" s="10" t="s">
        <v>38</v>
      </c>
      <c r="P166" s="10" t="s">
        <v>39</v>
      </c>
      <c r="Q166" s="10" t="s">
        <v>40</v>
      </c>
      <c r="R166" s="10" t="s">
        <v>41</v>
      </c>
      <c r="Y166" s="10" t="s">
        <v>382</v>
      </c>
      <c r="AA166" s="74" t="str">
        <f t="shared" si="3"/>
        <v>?</v>
      </c>
    </row>
    <row r="167" ht="14.25" customHeight="1">
      <c r="A167" s="10" t="str">
        <f t="shared" si="8"/>
        <v>?utm_source=mktcloud&amp;utm_medium=emailmkt&amp;utm_campaign=##ApproachStart##-Tracking-Vendas-Movel-Pedido-Enviado_vivo_b2b_movel_institucional_movel_relacionamento&amp;utm_content=___&amp;utm_term=##IDPlay##_</v>
      </c>
      <c r="C167" s="10" t="s">
        <v>160</v>
      </c>
      <c r="D167" s="10" t="s">
        <v>94</v>
      </c>
      <c r="E167" s="93" t="s">
        <v>579</v>
      </c>
      <c r="F167" s="93" t="s">
        <v>44</v>
      </c>
      <c r="G167" s="93" t="s">
        <v>64</v>
      </c>
      <c r="H167" s="93" t="s">
        <v>124</v>
      </c>
      <c r="I167" s="93" t="s">
        <v>115</v>
      </c>
      <c r="J167" s="93" t="s">
        <v>124</v>
      </c>
      <c r="K167" s="93" t="s">
        <v>144</v>
      </c>
      <c r="L167" s="10" t="s">
        <v>35</v>
      </c>
      <c r="M167" s="10" t="s">
        <v>36</v>
      </c>
      <c r="N167" s="10" t="s">
        <v>37</v>
      </c>
      <c r="O167" s="10" t="s">
        <v>38</v>
      </c>
      <c r="P167" s="10" t="s">
        <v>39</v>
      </c>
      <c r="Q167" s="10" t="s">
        <v>40</v>
      </c>
      <c r="R167" s="10" t="s">
        <v>41</v>
      </c>
      <c r="Y167" s="10" t="s">
        <v>382</v>
      </c>
      <c r="AA167" s="74" t="str">
        <f t="shared" si="3"/>
        <v>?</v>
      </c>
    </row>
    <row r="168" ht="14.25" customHeight="1">
      <c r="A168" s="10" t="str">
        <f t="shared" si="8"/>
        <v>?utm_source=mktcloud&amp;utm_medium=emailmkt&amp;utm_campaign=##ApproachStart##-Tracking-Vendas-Movel-Pedido-Entregue_vivo_b2b_movel_institucional_movel_relacionamento&amp;utm_content=___&amp;utm_term=##IDPlay##_</v>
      </c>
      <c r="C168" s="10" t="s">
        <v>160</v>
      </c>
      <c r="D168" s="10" t="s">
        <v>94</v>
      </c>
      <c r="E168" s="93" t="s">
        <v>580</v>
      </c>
      <c r="F168" s="93" t="s">
        <v>44</v>
      </c>
      <c r="G168" s="93" t="s">
        <v>64</v>
      </c>
      <c r="H168" s="93" t="s">
        <v>124</v>
      </c>
      <c r="I168" s="93" t="s">
        <v>115</v>
      </c>
      <c r="J168" s="93" t="s">
        <v>124</v>
      </c>
      <c r="K168" s="93" t="s">
        <v>144</v>
      </c>
      <c r="L168" s="10" t="s">
        <v>35</v>
      </c>
      <c r="M168" s="10" t="s">
        <v>36</v>
      </c>
      <c r="N168" s="10" t="s">
        <v>37</v>
      </c>
      <c r="O168" s="10" t="s">
        <v>38</v>
      </c>
      <c r="P168" s="10" t="s">
        <v>39</v>
      </c>
      <c r="Q168" s="10" t="s">
        <v>40</v>
      </c>
      <c r="R168" s="10" t="s">
        <v>41</v>
      </c>
      <c r="Y168" s="10" t="s">
        <v>382</v>
      </c>
      <c r="AA168" s="74" t="str">
        <f t="shared" si="3"/>
        <v>?</v>
      </c>
    </row>
    <row r="169" ht="14.25" customHeight="1">
      <c r="A169" s="91" t="str">
        <f t="shared" si="8"/>
        <v>https://lojaonline.vivo.com.br/vivostorefront/Vivo/p/22018185?utm_source=mktcloud&amp;utm_medium=emailmkt&amp;utm_campaign=##ApproachStart##-Vivo-Smart-Wi-Fi_vivo_b2c_ecommerce_terminais_fixa_oferta&amp;utm_content=___&amp;utm_term=##IDPlay##_</v>
      </c>
      <c r="B169" s="95" t="s">
        <v>581</v>
      </c>
      <c r="C169" s="10" t="s">
        <v>160</v>
      </c>
      <c r="D169" s="10" t="s">
        <v>94</v>
      </c>
      <c r="E169" s="93" t="s">
        <v>582</v>
      </c>
      <c r="F169" s="93" t="s">
        <v>44</v>
      </c>
      <c r="G169" s="93" t="s">
        <v>45</v>
      </c>
      <c r="H169" s="93" t="s">
        <v>95</v>
      </c>
      <c r="I169" s="93" t="s">
        <v>189</v>
      </c>
      <c r="J169" s="93" t="s">
        <v>108</v>
      </c>
      <c r="K169" s="93" t="s">
        <v>117</v>
      </c>
      <c r="L169" s="10" t="s">
        <v>35</v>
      </c>
      <c r="M169" s="10" t="s">
        <v>36</v>
      </c>
      <c r="N169" s="10" t="s">
        <v>37</v>
      </c>
      <c r="O169" s="10" t="s">
        <v>38</v>
      </c>
      <c r="P169" s="10" t="s">
        <v>39</v>
      </c>
      <c r="Q169" s="10" t="s">
        <v>40</v>
      </c>
      <c r="R169" s="10" t="s">
        <v>41</v>
      </c>
      <c r="Y169" s="10" t="s">
        <v>382</v>
      </c>
      <c r="AA169" s="74" t="str">
        <f t="shared" si="3"/>
        <v>?</v>
      </c>
    </row>
    <row r="170" ht="14.25" customHeight="1">
      <c r="A170" s="10" t="str">
        <f t="shared" si="8"/>
        <v>?utm_source=mktcloud&amp;utm_medium=emailmkt&amp;utm_campaign=##ApproachStart##-Inauguracao-loja-cj_vivo_b2c_institucional_institucional_duo_relacionamento&amp;utm_content=___&amp;utm_term=##IDPlay##_</v>
      </c>
      <c r="C170" s="10" t="s">
        <v>160</v>
      </c>
      <c r="D170" s="10" t="s">
        <v>94</v>
      </c>
      <c r="E170" s="93" t="s">
        <v>583</v>
      </c>
      <c r="F170" s="10" t="s">
        <v>44</v>
      </c>
      <c r="G170" s="10" t="s">
        <v>45</v>
      </c>
      <c r="H170" s="10" t="s">
        <v>115</v>
      </c>
      <c r="I170" s="10" t="s">
        <v>115</v>
      </c>
      <c r="J170" s="10" t="s">
        <v>143</v>
      </c>
      <c r="K170" s="10" t="s">
        <v>144</v>
      </c>
      <c r="L170" s="10" t="s">
        <v>35</v>
      </c>
      <c r="M170" s="10" t="s">
        <v>36</v>
      </c>
      <c r="N170" s="10" t="s">
        <v>37</v>
      </c>
      <c r="O170" s="10" t="s">
        <v>38</v>
      </c>
      <c r="P170" s="10" t="s">
        <v>39</v>
      </c>
      <c r="Q170" s="10" t="s">
        <v>40</v>
      </c>
      <c r="R170" s="10" t="s">
        <v>41</v>
      </c>
      <c r="Y170" s="10" t="s">
        <v>382</v>
      </c>
      <c r="AA170" s="74" t="str">
        <f t="shared" si="3"/>
        <v>?</v>
      </c>
    </row>
    <row r="171" ht="14.25" customHeight="1">
      <c r="A171" s="91" t="str">
        <f t="shared" si="8"/>
        <v>https://lojaonline.vivo.com.br/vivostorefront/p/22020237?utm_source=mktcloud&amp;utm_medium=emailmkt&amp;utm_campaign=##ApproachStart##-Lancamento-Gadgets-Samsung_vivo_b2c_ecommerce_terminais_duo_lancamento&amp;utm_content=CTA1___&amp;utm_term=##IDPlay##_</v>
      </c>
      <c r="B171" s="107" t="s">
        <v>584</v>
      </c>
      <c r="C171" s="10" t="s">
        <v>160</v>
      </c>
      <c r="D171" s="10" t="s">
        <v>94</v>
      </c>
      <c r="E171" s="93" t="s">
        <v>585</v>
      </c>
      <c r="F171" s="93" t="s">
        <v>44</v>
      </c>
      <c r="G171" s="93" t="s">
        <v>45</v>
      </c>
      <c r="H171" s="93" t="s">
        <v>95</v>
      </c>
      <c r="I171" s="93" t="s">
        <v>189</v>
      </c>
      <c r="J171" s="93" t="s">
        <v>143</v>
      </c>
      <c r="K171" s="93" t="s">
        <v>98</v>
      </c>
      <c r="L171" s="10" t="s">
        <v>35</v>
      </c>
      <c r="M171" s="10" t="s">
        <v>36</v>
      </c>
      <c r="N171" s="10" t="s">
        <v>37</v>
      </c>
      <c r="O171" s="10" t="s">
        <v>38</v>
      </c>
      <c r="P171" s="10" t="s">
        <v>39</v>
      </c>
      <c r="Q171" s="10" t="s">
        <v>40</v>
      </c>
      <c r="R171" s="10" t="s">
        <v>41</v>
      </c>
      <c r="U171" s="93" t="s">
        <v>387</v>
      </c>
      <c r="Y171" s="10" t="s">
        <v>382</v>
      </c>
      <c r="AA171" s="74" t="str">
        <f t="shared" si="3"/>
        <v>?</v>
      </c>
    </row>
    <row r="172" ht="14.25" customHeight="1">
      <c r="A172" s="91" t="str">
        <f t="shared" si="8"/>
        <v>https://lojaonline.vivo.com.br/vivostorefront/Vivo/Acess%C3%B3rios/c/lancamentosamsungwatch4?utm_source=mktcloud&amp;utm_medium=emailmkt&amp;utm_campaign=##ApproachStart##-Lancamento-Gadgets-Samsung_vivo_b2c_ecommerce_terminais_duo_lancamento&amp;utm_content=CTA2___&amp;utm_term=##IDPlay##_</v>
      </c>
      <c r="B172" s="108" t="s">
        <v>586</v>
      </c>
      <c r="C172" s="10" t="s">
        <v>160</v>
      </c>
      <c r="D172" s="10" t="s">
        <v>94</v>
      </c>
      <c r="E172" s="93" t="s">
        <v>585</v>
      </c>
      <c r="F172" s="93" t="s">
        <v>44</v>
      </c>
      <c r="G172" s="93" t="s">
        <v>45</v>
      </c>
      <c r="H172" s="93" t="s">
        <v>95</v>
      </c>
      <c r="I172" s="93" t="s">
        <v>189</v>
      </c>
      <c r="J172" s="93" t="s">
        <v>143</v>
      </c>
      <c r="K172" s="93" t="s">
        <v>98</v>
      </c>
      <c r="L172" s="10" t="s">
        <v>35</v>
      </c>
      <c r="M172" s="10" t="s">
        <v>36</v>
      </c>
      <c r="N172" s="10" t="s">
        <v>37</v>
      </c>
      <c r="O172" s="10" t="s">
        <v>38</v>
      </c>
      <c r="P172" s="10" t="s">
        <v>39</v>
      </c>
      <c r="Q172" s="10" t="s">
        <v>40</v>
      </c>
      <c r="R172" s="10" t="s">
        <v>41</v>
      </c>
      <c r="U172" s="93" t="s">
        <v>393</v>
      </c>
      <c r="Y172" s="10" t="s">
        <v>382</v>
      </c>
      <c r="AA172" s="74" t="str">
        <f t="shared" si="3"/>
        <v>?</v>
      </c>
    </row>
    <row r="173" ht="14.25" customHeight="1">
      <c r="A173" s="91" t="str">
        <f t="shared" si="8"/>
        <v>https://lojaonline.vivo.com.br/vivostorefront/Vivo/Aparelhos/Smartphone/SSG-R895F-SMART-WATCH-4-CLASSIC-46mm-PT/p/TGSA41964000?utm_source=mktcloud&amp;utm_medium=emailmkt&amp;utm_campaign=##ApproachStart##-Lancamento-Gadgets-Samsung_vivo_b2c_ecommerce_terminais_duo_lancamento&amp;utm_content=CTA3___&amp;utm_term=##IDPlay##_</v>
      </c>
      <c r="B173" s="107" t="s">
        <v>587</v>
      </c>
      <c r="C173" s="10" t="s">
        <v>160</v>
      </c>
      <c r="D173" s="10" t="s">
        <v>94</v>
      </c>
      <c r="E173" s="93" t="s">
        <v>585</v>
      </c>
      <c r="F173" s="93" t="s">
        <v>44</v>
      </c>
      <c r="G173" s="93" t="s">
        <v>45</v>
      </c>
      <c r="H173" s="93" t="s">
        <v>95</v>
      </c>
      <c r="I173" s="93" t="s">
        <v>189</v>
      </c>
      <c r="J173" s="93" t="s">
        <v>143</v>
      </c>
      <c r="K173" s="93" t="s">
        <v>98</v>
      </c>
      <c r="L173" s="10" t="s">
        <v>35</v>
      </c>
      <c r="M173" s="10" t="s">
        <v>36</v>
      </c>
      <c r="N173" s="10" t="s">
        <v>37</v>
      </c>
      <c r="O173" s="10" t="s">
        <v>38</v>
      </c>
      <c r="P173" s="10" t="s">
        <v>39</v>
      </c>
      <c r="Q173" s="10" t="s">
        <v>40</v>
      </c>
      <c r="R173" s="10" t="s">
        <v>41</v>
      </c>
      <c r="U173" s="93" t="s">
        <v>395</v>
      </c>
      <c r="Y173" s="10" t="s">
        <v>382</v>
      </c>
      <c r="AA173" s="74" t="str">
        <f t="shared" si="3"/>
        <v>?</v>
      </c>
    </row>
    <row r="174" ht="14.25" customHeight="1">
      <c r="A174" s="10" t="str">
        <f t="shared" si="8"/>
        <v>?utm_source=mktcloud&amp;utm_medium=emailmkt&amp;utm_campaign=##ApproachStart##-Lancamento-Gadgets-Samsung_vivo_b2c_ecommerce_terminais_duo_lancamento&amp;utm_content=CTA4___&amp;utm_term=##IDPlay##_</v>
      </c>
      <c r="C174" s="10" t="s">
        <v>160</v>
      </c>
      <c r="D174" s="10" t="s">
        <v>94</v>
      </c>
      <c r="E174" s="93" t="s">
        <v>585</v>
      </c>
      <c r="F174" s="93" t="s">
        <v>44</v>
      </c>
      <c r="G174" s="93" t="s">
        <v>45</v>
      </c>
      <c r="H174" s="93" t="s">
        <v>95</v>
      </c>
      <c r="I174" s="93" t="s">
        <v>189</v>
      </c>
      <c r="J174" s="93" t="s">
        <v>143</v>
      </c>
      <c r="K174" s="93" t="s">
        <v>98</v>
      </c>
      <c r="L174" s="10" t="s">
        <v>35</v>
      </c>
      <c r="M174" s="10" t="s">
        <v>36</v>
      </c>
      <c r="N174" s="10" t="s">
        <v>37</v>
      </c>
      <c r="O174" s="10" t="s">
        <v>38</v>
      </c>
      <c r="P174" s="10" t="s">
        <v>39</v>
      </c>
      <c r="Q174" s="10" t="s">
        <v>40</v>
      </c>
      <c r="R174" s="10" t="s">
        <v>41</v>
      </c>
      <c r="U174" s="93" t="s">
        <v>397</v>
      </c>
      <c r="Y174" s="10" t="s">
        <v>382</v>
      </c>
      <c r="AA174" s="74" t="str">
        <f t="shared" si="3"/>
        <v>?</v>
      </c>
    </row>
    <row r="175" ht="14.25" customHeight="1">
      <c r="A175" s="91" t="str">
        <f t="shared" si="8"/>
        <v>http://www.vivoid.vivo.com.br/?utm_source=mktcloud&amp;utm_medium=emailmkt&amp;utm_campaign=##ApproachStart##-Vivo-id_vivo_b2b_institucional_institucional_duo_relacionamento&amp;utm_content=___&amp;utm_term=##IDPlay##_</v>
      </c>
      <c r="B175" s="95" t="s">
        <v>588</v>
      </c>
      <c r="C175" s="93" t="s">
        <v>160</v>
      </c>
      <c r="D175" s="93" t="s">
        <v>94</v>
      </c>
      <c r="E175" s="93" t="s">
        <v>589</v>
      </c>
      <c r="F175" s="93" t="s">
        <v>44</v>
      </c>
      <c r="G175" s="93" t="s">
        <v>64</v>
      </c>
      <c r="H175" s="93" t="s">
        <v>115</v>
      </c>
      <c r="I175" s="93" t="s">
        <v>115</v>
      </c>
      <c r="J175" s="93" t="s">
        <v>143</v>
      </c>
      <c r="K175" s="93" t="s">
        <v>144</v>
      </c>
      <c r="L175" s="10" t="s">
        <v>35</v>
      </c>
      <c r="M175" s="10" t="s">
        <v>36</v>
      </c>
      <c r="N175" s="10" t="s">
        <v>37</v>
      </c>
      <c r="O175" s="10" t="s">
        <v>38</v>
      </c>
      <c r="P175" s="10" t="s">
        <v>39</v>
      </c>
      <c r="Q175" s="10" t="s">
        <v>40</v>
      </c>
      <c r="R175" s="10" t="s">
        <v>41</v>
      </c>
      <c r="Y175" s="10" t="s">
        <v>382</v>
      </c>
      <c r="AA175" s="74" t="str">
        <f t="shared" si="3"/>
        <v>?</v>
      </c>
    </row>
    <row r="176" ht="14.25" customHeight="1">
      <c r="A176" s="10" t="str">
        <f t="shared" si="8"/>
        <v>?utm_source=mktcloud&amp;utm_medium=emailmkt&amp;utm_campaign=##ApproachStart##-Atributo-Meu-Vivo-Lembrete-Fatura-1_vivo_b2c_institucional_institucional_meu-vivo-movel_comunicado&amp;utm_content=___&amp;utm_term=##IDPlay##_</v>
      </c>
      <c r="B176" s="103"/>
      <c r="C176" s="93" t="s">
        <v>160</v>
      </c>
      <c r="D176" s="93" t="s">
        <v>94</v>
      </c>
      <c r="E176" s="93" t="s">
        <v>590</v>
      </c>
      <c r="F176" s="93" t="s">
        <v>44</v>
      </c>
      <c r="G176" s="93" t="s">
        <v>45</v>
      </c>
      <c r="H176" s="93" t="s">
        <v>115</v>
      </c>
      <c r="I176" s="93" t="s">
        <v>115</v>
      </c>
      <c r="J176" s="93" t="s">
        <v>208</v>
      </c>
      <c r="K176" s="93" t="s">
        <v>68</v>
      </c>
      <c r="L176" s="10" t="s">
        <v>35</v>
      </c>
      <c r="M176" s="10" t="s">
        <v>36</v>
      </c>
      <c r="N176" s="10" t="s">
        <v>37</v>
      </c>
      <c r="O176" s="10" t="s">
        <v>38</v>
      </c>
      <c r="P176" s="10" t="s">
        <v>39</v>
      </c>
      <c r="Q176" s="10" t="s">
        <v>40</v>
      </c>
      <c r="R176" s="10" t="s">
        <v>41</v>
      </c>
      <c r="Y176" s="10" t="s">
        <v>382</v>
      </c>
      <c r="AA176" s="74" t="str">
        <f t="shared" si="3"/>
        <v>?</v>
      </c>
    </row>
    <row r="177" ht="14.25" customHeight="1">
      <c r="A177" s="10" t="str">
        <f t="shared" si="8"/>
        <v>?utm_source=mktcloud&amp;utm_medium=emailmkt&amp;utm_campaign=##ApproachStart##-Atributo-Meu-Vivo-Lembrete-Fatura-2_vivo_b2c_institucional_institucional_meu-vivo-movel_comunicado&amp;utm_content=___&amp;utm_term=##IDPlay##_</v>
      </c>
      <c r="C177" s="93" t="s">
        <v>160</v>
      </c>
      <c r="D177" s="93" t="s">
        <v>94</v>
      </c>
      <c r="E177" s="93" t="s">
        <v>591</v>
      </c>
      <c r="F177" s="93" t="s">
        <v>44</v>
      </c>
      <c r="G177" s="93" t="s">
        <v>45</v>
      </c>
      <c r="H177" s="93" t="s">
        <v>115</v>
      </c>
      <c r="I177" s="93" t="s">
        <v>115</v>
      </c>
      <c r="J177" s="93" t="s">
        <v>208</v>
      </c>
      <c r="K177" s="93" t="s">
        <v>68</v>
      </c>
      <c r="L177" s="10" t="s">
        <v>35</v>
      </c>
      <c r="M177" s="10" t="s">
        <v>36</v>
      </c>
      <c r="N177" s="10" t="s">
        <v>37</v>
      </c>
      <c r="O177" s="10" t="s">
        <v>38</v>
      </c>
      <c r="P177" s="10" t="s">
        <v>39</v>
      </c>
      <c r="Q177" s="10" t="s">
        <v>40</v>
      </c>
      <c r="R177" s="10" t="s">
        <v>41</v>
      </c>
      <c r="Y177" s="10" t="s">
        <v>382</v>
      </c>
      <c r="AA177" s="74" t="str">
        <f t="shared" si="3"/>
        <v>?</v>
      </c>
    </row>
    <row r="178" ht="14.25" customHeight="1">
      <c r="A178" s="10" t="str">
        <f t="shared" si="8"/>
        <v>?utm_source=mktcloud&amp;utm_medium=emailmkt&amp;utm_campaign=##ApproachStart##-Pos-Venda-Compre-Ganhe_vivo_b2c_ecommerce_terminais_none_relacionamento&amp;utm_content=___&amp;utm_term=##IDPlay##_</v>
      </c>
      <c r="C178" s="93" t="s">
        <v>160</v>
      </c>
      <c r="D178" s="93" t="s">
        <v>94</v>
      </c>
      <c r="E178" s="109" t="s">
        <v>592</v>
      </c>
      <c r="F178" s="93" t="s">
        <v>44</v>
      </c>
      <c r="G178" s="93" t="s">
        <v>45</v>
      </c>
      <c r="H178" s="93" t="s">
        <v>95</v>
      </c>
      <c r="I178" s="93" t="s">
        <v>189</v>
      </c>
      <c r="J178" s="93" t="s">
        <v>168</v>
      </c>
      <c r="K178" s="93" t="s">
        <v>144</v>
      </c>
      <c r="L178" s="10" t="s">
        <v>35</v>
      </c>
      <c r="M178" s="10" t="s">
        <v>36</v>
      </c>
      <c r="N178" s="10" t="s">
        <v>37</v>
      </c>
      <c r="O178" s="10" t="s">
        <v>38</v>
      </c>
      <c r="P178" s="10" t="s">
        <v>39</v>
      </c>
      <c r="Q178" s="10" t="s">
        <v>40</v>
      </c>
      <c r="R178" s="10" t="s">
        <v>41</v>
      </c>
      <c r="Y178" s="10" t="s">
        <v>382</v>
      </c>
      <c r="AA178" s="74" t="str">
        <f t="shared" si="3"/>
        <v>?</v>
      </c>
    </row>
    <row r="179" ht="14.25" customHeight="1">
      <c r="A179" s="10" t="str">
        <f t="shared" si="8"/>
        <v>?utm_source=selecione&amp;utm_medium=selecione&amp;utm_campaign=##ApproachStart##-Pos-Venda-Compre-Ganhe_selecione_selecione_selecione_selecione_selecione_selecione&amp;utm_content=___&amp;utm_term=##IDPlay##_</v>
      </c>
      <c r="C179" s="10" t="s">
        <v>34</v>
      </c>
      <c r="D179" s="10" t="s">
        <v>34</v>
      </c>
      <c r="E179" s="93" t="s">
        <v>592</v>
      </c>
      <c r="F179" s="10" t="s">
        <v>34</v>
      </c>
      <c r="G179" s="10" t="s">
        <v>34</v>
      </c>
      <c r="H179" s="10" t="s">
        <v>34</v>
      </c>
      <c r="I179" s="10" t="s">
        <v>34</v>
      </c>
      <c r="J179" s="10" t="s">
        <v>34</v>
      </c>
      <c r="K179" s="10" t="s">
        <v>34</v>
      </c>
      <c r="L179" s="10" t="s">
        <v>35</v>
      </c>
      <c r="M179" s="10" t="s">
        <v>36</v>
      </c>
      <c r="N179" s="10" t="s">
        <v>37</v>
      </c>
      <c r="O179" s="10" t="s">
        <v>38</v>
      </c>
      <c r="P179" s="10" t="s">
        <v>39</v>
      </c>
      <c r="Q179" s="10" t="s">
        <v>40</v>
      </c>
      <c r="R179" s="10" t="s">
        <v>41</v>
      </c>
      <c r="Y179" s="10" t="s">
        <v>382</v>
      </c>
      <c r="AA179" s="74" t="str">
        <f t="shared" si="3"/>
        <v>?</v>
      </c>
    </row>
    <row r="180" ht="14.25" customHeight="1">
      <c r="A180" s="10" t="str">
        <f t="shared" si="8"/>
        <v>?utm_source=selecione&amp;utm_medium=selecione&amp;utm_campaign=_selecione_selecione_selecione_selecione_selecione_selecione&amp;utm_content=___&amp;utm_term=##IDPlay##_</v>
      </c>
      <c r="C180" s="10" t="s">
        <v>34</v>
      </c>
      <c r="D180" s="10" t="s">
        <v>34</v>
      </c>
      <c r="F180" s="10" t="s">
        <v>34</v>
      </c>
      <c r="G180" s="10" t="s">
        <v>34</v>
      </c>
      <c r="H180" s="10" t="s">
        <v>34</v>
      </c>
      <c r="I180" s="10" t="s">
        <v>34</v>
      </c>
      <c r="J180" s="10" t="s">
        <v>34</v>
      </c>
      <c r="K180" s="10" t="s">
        <v>34</v>
      </c>
      <c r="L180" s="10" t="s">
        <v>35</v>
      </c>
      <c r="M180" s="10" t="s">
        <v>36</v>
      </c>
      <c r="N180" s="10" t="s">
        <v>37</v>
      </c>
      <c r="O180" s="10" t="s">
        <v>38</v>
      </c>
      <c r="P180" s="10" t="s">
        <v>39</v>
      </c>
      <c r="Q180" s="10" t="s">
        <v>40</v>
      </c>
      <c r="R180" s="10" t="s">
        <v>41</v>
      </c>
      <c r="Y180" s="10" t="s">
        <v>382</v>
      </c>
      <c r="AA180" s="74" t="str">
        <f t="shared" si="3"/>
        <v>?</v>
      </c>
    </row>
    <row r="181" ht="14.25" customHeight="1">
      <c r="A181" s="10" t="str">
        <f t="shared" si="8"/>
        <v>?utm_source=selecione&amp;utm_medium=selecione&amp;utm_campaign=_selecione_selecione_selecione_selecione_selecione_selecione&amp;utm_content=___&amp;utm_term=##IDPlay##_</v>
      </c>
      <c r="C181" s="10" t="s">
        <v>34</v>
      </c>
      <c r="D181" s="10" t="s">
        <v>34</v>
      </c>
      <c r="F181" s="10" t="s">
        <v>34</v>
      </c>
      <c r="G181" s="10" t="s">
        <v>34</v>
      </c>
      <c r="H181" s="10" t="s">
        <v>34</v>
      </c>
      <c r="I181" s="10" t="s">
        <v>34</v>
      </c>
      <c r="J181" s="10" t="s">
        <v>34</v>
      </c>
      <c r="K181" s="10" t="s">
        <v>34</v>
      </c>
      <c r="L181" s="10" t="s">
        <v>35</v>
      </c>
      <c r="M181" s="10" t="s">
        <v>36</v>
      </c>
      <c r="N181" s="10" t="s">
        <v>37</v>
      </c>
      <c r="O181" s="10" t="s">
        <v>38</v>
      </c>
      <c r="P181" s="10" t="s">
        <v>39</v>
      </c>
      <c r="Q181" s="10" t="s">
        <v>40</v>
      </c>
      <c r="R181" s="10" t="s">
        <v>41</v>
      </c>
      <c r="Y181" s="10" t="s">
        <v>382</v>
      </c>
      <c r="AA181" s="74" t="str">
        <f t="shared" si="3"/>
        <v>?</v>
      </c>
    </row>
    <row r="182" ht="14.25" customHeight="1">
      <c r="A182" s="10" t="str">
        <f t="shared" si="8"/>
        <v>?utm_source=selecione&amp;utm_medium=selecione&amp;utm_campaign=_selecione_selecione_selecione_selecione_selecione_selecione&amp;utm_content=___&amp;utm_term=##IDPlay##_</v>
      </c>
      <c r="C182" s="10" t="s">
        <v>34</v>
      </c>
      <c r="D182" s="10" t="s">
        <v>34</v>
      </c>
      <c r="F182" s="10" t="s">
        <v>34</v>
      </c>
      <c r="G182" s="10" t="s">
        <v>34</v>
      </c>
      <c r="H182" s="10" t="s">
        <v>34</v>
      </c>
      <c r="I182" s="10" t="s">
        <v>34</v>
      </c>
      <c r="J182" s="10" t="s">
        <v>34</v>
      </c>
      <c r="K182" s="10" t="s">
        <v>34</v>
      </c>
      <c r="L182" s="10" t="s">
        <v>35</v>
      </c>
      <c r="M182" s="10" t="s">
        <v>36</v>
      </c>
      <c r="N182" s="10" t="s">
        <v>37</v>
      </c>
      <c r="O182" s="10" t="s">
        <v>38</v>
      </c>
      <c r="P182" s="10" t="s">
        <v>39</v>
      </c>
      <c r="Q182" s="10" t="s">
        <v>40</v>
      </c>
      <c r="R182" s="10" t="s">
        <v>41</v>
      </c>
      <c r="Y182" s="10" t="s">
        <v>382</v>
      </c>
      <c r="AA182" s="74" t="str">
        <f t="shared" si="3"/>
        <v>?</v>
      </c>
    </row>
    <row r="183" ht="14.25" customHeight="1">
      <c r="A183" s="10" t="str">
        <f t="shared" si="8"/>
        <v>?utm_source=selecione&amp;utm_medium=selecione&amp;utm_campaign=_selecione_selecione_selecione_selecione_selecione_selecione&amp;utm_content=___&amp;utm_term=##IDPlay##_</v>
      </c>
      <c r="C183" s="10" t="s">
        <v>34</v>
      </c>
      <c r="D183" s="10" t="s">
        <v>34</v>
      </c>
      <c r="F183" s="10" t="s">
        <v>34</v>
      </c>
      <c r="G183" s="10" t="s">
        <v>34</v>
      </c>
      <c r="H183" s="10" t="s">
        <v>34</v>
      </c>
      <c r="I183" s="10" t="s">
        <v>34</v>
      </c>
      <c r="J183" s="10" t="s">
        <v>34</v>
      </c>
      <c r="K183" s="10" t="s">
        <v>34</v>
      </c>
      <c r="L183" s="10" t="s">
        <v>35</v>
      </c>
      <c r="M183" s="10" t="s">
        <v>36</v>
      </c>
      <c r="N183" s="10" t="s">
        <v>37</v>
      </c>
      <c r="O183" s="10" t="s">
        <v>38</v>
      </c>
      <c r="P183" s="10" t="s">
        <v>39</v>
      </c>
      <c r="Q183" s="10" t="s">
        <v>40</v>
      </c>
      <c r="R183" s="10" t="s">
        <v>41</v>
      </c>
      <c r="Y183" s="10" t="s">
        <v>382</v>
      </c>
      <c r="AA183" s="74" t="str">
        <f t="shared" si="3"/>
        <v>?</v>
      </c>
    </row>
    <row r="184" ht="14.25" customHeight="1">
      <c r="A184" s="10" t="str">
        <f t="shared" si="8"/>
        <v>?utm_source=selecione&amp;utm_medium=selecione&amp;utm_campaign=_selecione_selecione_selecione_selecione_selecione_selecione&amp;utm_content=___&amp;utm_term=##IDPlay##_</v>
      </c>
      <c r="C184" s="10" t="s">
        <v>34</v>
      </c>
      <c r="D184" s="10" t="s">
        <v>34</v>
      </c>
      <c r="F184" s="10" t="s">
        <v>34</v>
      </c>
      <c r="G184" s="10" t="s">
        <v>34</v>
      </c>
      <c r="H184" s="10" t="s">
        <v>34</v>
      </c>
      <c r="I184" s="10" t="s">
        <v>34</v>
      </c>
      <c r="J184" s="10" t="s">
        <v>34</v>
      </c>
      <c r="K184" s="10" t="s">
        <v>34</v>
      </c>
      <c r="L184" s="10" t="s">
        <v>35</v>
      </c>
      <c r="M184" s="10" t="s">
        <v>36</v>
      </c>
      <c r="N184" s="10" t="s">
        <v>37</v>
      </c>
      <c r="O184" s="10" t="s">
        <v>38</v>
      </c>
      <c r="P184" s="10" t="s">
        <v>39</v>
      </c>
      <c r="Q184" s="10" t="s">
        <v>40</v>
      </c>
      <c r="R184" s="10" t="s">
        <v>41</v>
      </c>
      <c r="Y184" s="10" t="s">
        <v>382</v>
      </c>
      <c r="AA184" s="74" t="str">
        <f t="shared" si="3"/>
        <v>?</v>
      </c>
    </row>
    <row r="185" ht="14.25" customHeight="1">
      <c r="A185" s="10" t="str">
        <f t="shared" si="8"/>
        <v>?utm_source=selecione&amp;utm_medium=selecione&amp;utm_campaign=_selecione_selecione_selecione_selecione_selecione_selecione&amp;utm_content=___&amp;utm_term=##IDPlay##_</v>
      </c>
      <c r="C185" s="10" t="s">
        <v>34</v>
      </c>
      <c r="D185" s="10" t="s">
        <v>34</v>
      </c>
      <c r="F185" s="10" t="s">
        <v>34</v>
      </c>
      <c r="G185" s="10" t="s">
        <v>34</v>
      </c>
      <c r="H185" s="10" t="s">
        <v>34</v>
      </c>
      <c r="I185" s="10" t="s">
        <v>34</v>
      </c>
      <c r="J185" s="10" t="s">
        <v>34</v>
      </c>
      <c r="K185" s="10" t="s">
        <v>34</v>
      </c>
      <c r="L185" s="10" t="s">
        <v>35</v>
      </c>
      <c r="M185" s="10" t="s">
        <v>36</v>
      </c>
      <c r="N185" s="10" t="s">
        <v>37</v>
      </c>
      <c r="O185" s="10" t="s">
        <v>38</v>
      </c>
      <c r="P185" s="10" t="s">
        <v>39</v>
      </c>
      <c r="Q185" s="10" t="s">
        <v>40</v>
      </c>
      <c r="R185" s="10" t="s">
        <v>41</v>
      </c>
      <c r="Y185" s="10" t="s">
        <v>382</v>
      </c>
      <c r="AA185" s="74" t="str">
        <f t="shared" si="3"/>
        <v>?</v>
      </c>
    </row>
    <row r="186" ht="14.25" customHeight="1">
      <c r="A186" s="10" t="str">
        <f t="shared" si="8"/>
        <v>?utm_source=selecione&amp;utm_medium=selecione&amp;utm_campaign=_selecione_selecione_selecione_selecione_selecione_selecione&amp;utm_content=___&amp;utm_term=##IDPlay##_</v>
      </c>
      <c r="C186" s="10" t="s">
        <v>34</v>
      </c>
      <c r="D186" s="10" t="s">
        <v>34</v>
      </c>
      <c r="F186" s="10" t="s">
        <v>34</v>
      </c>
      <c r="G186" s="10" t="s">
        <v>34</v>
      </c>
      <c r="H186" s="10" t="s">
        <v>34</v>
      </c>
      <c r="I186" s="10" t="s">
        <v>34</v>
      </c>
      <c r="J186" s="10" t="s">
        <v>34</v>
      </c>
      <c r="K186" s="10" t="s">
        <v>34</v>
      </c>
      <c r="L186" s="10" t="s">
        <v>35</v>
      </c>
      <c r="M186" s="10" t="s">
        <v>36</v>
      </c>
      <c r="N186" s="10" t="s">
        <v>37</v>
      </c>
      <c r="O186" s="10" t="s">
        <v>38</v>
      </c>
      <c r="P186" s="10" t="s">
        <v>39</v>
      </c>
      <c r="Q186" s="10" t="s">
        <v>40</v>
      </c>
      <c r="R186" s="10" t="s">
        <v>41</v>
      </c>
      <c r="Y186" s="10" t="s">
        <v>382</v>
      </c>
      <c r="AA186" s="74" t="str">
        <f t="shared" si="3"/>
        <v>?</v>
      </c>
    </row>
    <row r="187" ht="14.25" customHeight="1">
      <c r="A187" s="10" t="str">
        <f t="shared" si="8"/>
        <v>?utm_source=selecione&amp;utm_medium=selecione&amp;utm_campaign=_selecione_selecione_selecione_selecione_selecione_selecione&amp;utm_content=___&amp;utm_term=##IDPlay##_</v>
      </c>
      <c r="C187" s="10" t="s">
        <v>34</v>
      </c>
      <c r="D187" s="10" t="s">
        <v>34</v>
      </c>
      <c r="F187" s="10" t="s">
        <v>34</v>
      </c>
      <c r="G187" s="10" t="s">
        <v>34</v>
      </c>
      <c r="H187" s="10" t="s">
        <v>34</v>
      </c>
      <c r="I187" s="10" t="s">
        <v>34</v>
      </c>
      <c r="J187" s="10" t="s">
        <v>34</v>
      </c>
      <c r="K187" s="10" t="s">
        <v>34</v>
      </c>
      <c r="L187" s="10" t="s">
        <v>35</v>
      </c>
      <c r="M187" s="10" t="s">
        <v>36</v>
      </c>
      <c r="N187" s="10" t="s">
        <v>37</v>
      </c>
      <c r="O187" s="10" t="s">
        <v>38</v>
      </c>
      <c r="P187" s="10" t="s">
        <v>39</v>
      </c>
      <c r="Q187" s="10" t="s">
        <v>40</v>
      </c>
      <c r="R187" s="10" t="s">
        <v>41</v>
      </c>
      <c r="Y187" s="10" t="s">
        <v>382</v>
      </c>
      <c r="AA187" s="74" t="str">
        <f t="shared" si="3"/>
        <v>?</v>
      </c>
    </row>
    <row r="188" ht="14.25" customHeight="1">
      <c r="A188" s="10" t="str">
        <f t="shared" si="8"/>
        <v>?utm_source=selecione&amp;utm_medium=selecione&amp;utm_campaign=_selecione_selecione_selecione_selecione_selecione_selecione&amp;utm_content=___&amp;utm_term=##IDPlay##_</v>
      </c>
      <c r="C188" s="10" t="s">
        <v>34</v>
      </c>
      <c r="D188" s="10" t="s">
        <v>34</v>
      </c>
      <c r="F188" s="10" t="s">
        <v>34</v>
      </c>
      <c r="G188" s="10" t="s">
        <v>34</v>
      </c>
      <c r="H188" s="10" t="s">
        <v>34</v>
      </c>
      <c r="I188" s="10" t="s">
        <v>34</v>
      </c>
      <c r="J188" s="10" t="s">
        <v>34</v>
      </c>
      <c r="K188" s="10" t="s">
        <v>34</v>
      </c>
      <c r="L188" s="10" t="s">
        <v>35</v>
      </c>
      <c r="M188" s="10" t="s">
        <v>36</v>
      </c>
      <c r="N188" s="10" t="s">
        <v>37</v>
      </c>
      <c r="O188" s="10" t="s">
        <v>38</v>
      </c>
      <c r="P188" s="10" t="s">
        <v>39</v>
      </c>
      <c r="Q188" s="10" t="s">
        <v>40</v>
      </c>
      <c r="R188" s="10" t="s">
        <v>41</v>
      </c>
      <c r="Y188" s="10" t="s">
        <v>382</v>
      </c>
      <c r="AA188" s="74" t="str">
        <f t="shared" si="3"/>
        <v>?</v>
      </c>
    </row>
    <row r="189" ht="14.25" customHeight="1">
      <c r="A189" s="10" t="str">
        <f t="shared" si="8"/>
        <v>?utm_source=selecione&amp;utm_medium=selecione&amp;utm_campaign=_selecione_selecione_selecione_selecione_selecione_selecione&amp;utm_content=___&amp;utm_term=##IDPlay##_</v>
      </c>
      <c r="C189" s="10" t="s">
        <v>34</v>
      </c>
      <c r="D189" s="10" t="s">
        <v>34</v>
      </c>
      <c r="F189" s="10" t="s">
        <v>34</v>
      </c>
      <c r="G189" s="10" t="s">
        <v>34</v>
      </c>
      <c r="H189" s="10" t="s">
        <v>34</v>
      </c>
      <c r="I189" s="10" t="s">
        <v>34</v>
      </c>
      <c r="J189" s="10" t="s">
        <v>34</v>
      </c>
      <c r="K189" s="10" t="s">
        <v>34</v>
      </c>
      <c r="L189" s="10" t="s">
        <v>35</v>
      </c>
      <c r="M189" s="10" t="s">
        <v>36</v>
      </c>
      <c r="N189" s="10" t="s">
        <v>37</v>
      </c>
      <c r="O189" s="10" t="s">
        <v>38</v>
      </c>
      <c r="P189" s="10" t="s">
        <v>39</v>
      </c>
      <c r="Q189" s="10" t="s">
        <v>40</v>
      </c>
      <c r="R189" s="10" t="s">
        <v>41</v>
      </c>
      <c r="Y189" s="10" t="s">
        <v>382</v>
      </c>
      <c r="AA189" s="74" t="str">
        <f t="shared" si="3"/>
        <v>?</v>
      </c>
    </row>
    <row r="190" ht="14.25" customHeight="1">
      <c r="A190" s="10" t="str">
        <f t="shared" si="8"/>
        <v>?utm_source=selecione&amp;utm_medium=selecione&amp;utm_campaign=_selecione_selecione_selecione_selecione_selecione_selecione&amp;utm_content=___&amp;utm_term=##IDPlay##_</v>
      </c>
      <c r="C190" s="10" t="s">
        <v>34</v>
      </c>
      <c r="D190" s="10" t="s">
        <v>34</v>
      </c>
      <c r="F190" s="10" t="s">
        <v>34</v>
      </c>
      <c r="G190" s="10" t="s">
        <v>34</v>
      </c>
      <c r="H190" s="10" t="s">
        <v>34</v>
      </c>
      <c r="I190" s="10" t="s">
        <v>34</v>
      </c>
      <c r="J190" s="10" t="s">
        <v>34</v>
      </c>
      <c r="K190" s="10" t="s">
        <v>34</v>
      </c>
      <c r="L190" s="10" t="s">
        <v>35</v>
      </c>
      <c r="M190" s="10" t="s">
        <v>36</v>
      </c>
      <c r="N190" s="10" t="s">
        <v>37</v>
      </c>
      <c r="O190" s="10" t="s">
        <v>38</v>
      </c>
      <c r="P190" s="10" t="s">
        <v>39</v>
      </c>
      <c r="Q190" s="10" t="s">
        <v>40</v>
      </c>
      <c r="R190" s="10" t="s">
        <v>41</v>
      </c>
      <c r="Y190" s="10" t="s">
        <v>382</v>
      </c>
      <c r="AA190" s="74" t="str">
        <f t="shared" si="3"/>
        <v>?</v>
      </c>
    </row>
    <row r="191" ht="14.25" customHeight="1">
      <c r="A191" s="10" t="str">
        <f t="shared" si="8"/>
        <v>?utm_source=selecione&amp;utm_medium=selecione&amp;utm_campaign=_selecione_selecione_selecione_selecione_selecione_selecione&amp;utm_content=___&amp;utm_term=##IDPlay##_</v>
      </c>
      <c r="C191" s="10" t="s">
        <v>34</v>
      </c>
      <c r="D191" s="10" t="s">
        <v>34</v>
      </c>
      <c r="F191" s="10" t="s">
        <v>34</v>
      </c>
      <c r="G191" s="10" t="s">
        <v>34</v>
      </c>
      <c r="H191" s="10" t="s">
        <v>34</v>
      </c>
      <c r="I191" s="10" t="s">
        <v>34</v>
      </c>
      <c r="J191" s="10" t="s">
        <v>34</v>
      </c>
      <c r="K191" s="10" t="s">
        <v>34</v>
      </c>
      <c r="L191" s="10" t="s">
        <v>35</v>
      </c>
      <c r="M191" s="10" t="s">
        <v>36</v>
      </c>
      <c r="N191" s="10" t="s">
        <v>37</v>
      </c>
      <c r="O191" s="10" t="s">
        <v>38</v>
      </c>
      <c r="P191" s="10" t="s">
        <v>39</v>
      </c>
      <c r="Q191" s="10" t="s">
        <v>40</v>
      </c>
      <c r="R191" s="10" t="s">
        <v>41</v>
      </c>
      <c r="Y191" s="10" t="s">
        <v>382</v>
      </c>
      <c r="AA191" s="74" t="str">
        <f t="shared" si="3"/>
        <v>?</v>
      </c>
    </row>
    <row r="192" ht="14.25" customHeight="1">
      <c r="A192" s="10" t="str">
        <f t="shared" si="8"/>
        <v>?utm_source=selecione&amp;utm_medium=selecione&amp;utm_campaign=_selecione_selecione_selecione_selecione_selecione_selecione&amp;utm_content=___&amp;utm_term=##IDPlay##_</v>
      </c>
      <c r="C192" s="10" t="s">
        <v>34</v>
      </c>
      <c r="D192" s="10" t="s">
        <v>34</v>
      </c>
      <c r="F192" s="10" t="s">
        <v>34</v>
      </c>
      <c r="G192" s="10" t="s">
        <v>34</v>
      </c>
      <c r="H192" s="10" t="s">
        <v>34</v>
      </c>
      <c r="I192" s="10" t="s">
        <v>34</v>
      </c>
      <c r="J192" s="10" t="s">
        <v>34</v>
      </c>
      <c r="K192" s="10" t="s">
        <v>34</v>
      </c>
      <c r="L192" s="10" t="s">
        <v>35</v>
      </c>
      <c r="M192" s="10" t="s">
        <v>36</v>
      </c>
      <c r="N192" s="10" t="s">
        <v>37</v>
      </c>
      <c r="O192" s="10" t="s">
        <v>38</v>
      </c>
      <c r="P192" s="10" t="s">
        <v>39</v>
      </c>
      <c r="Q192" s="10" t="s">
        <v>40</v>
      </c>
      <c r="R192" s="10" t="s">
        <v>41</v>
      </c>
      <c r="Y192" s="10" t="s">
        <v>382</v>
      </c>
      <c r="AA192" s="74" t="str">
        <f t="shared" si="3"/>
        <v>?</v>
      </c>
    </row>
    <row r="193" ht="14.25" customHeight="1">
      <c r="A193" s="10" t="str">
        <f t="shared" si="8"/>
        <v>?utm_source=selecione&amp;utm_medium=selecione&amp;utm_campaign=_selecione_selecione_selecione_selecione_selecione_selecione&amp;utm_content=___&amp;utm_term=##IDPlay##_</v>
      </c>
      <c r="C193" s="10" t="s">
        <v>34</v>
      </c>
      <c r="D193" s="10" t="s">
        <v>34</v>
      </c>
      <c r="F193" s="10" t="s">
        <v>34</v>
      </c>
      <c r="G193" s="10" t="s">
        <v>34</v>
      </c>
      <c r="H193" s="10" t="s">
        <v>34</v>
      </c>
      <c r="I193" s="10" t="s">
        <v>34</v>
      </c>
      <c r="J193" s="10" t="s">
        <v>34</v>
      </c>
      <c r="K193" s="10" t="s">
        <v>34</v>
      </c>
      <c r="L193" s="10" t="s">
        <v>35</v>
      </c>
      <c r="M193" s="10" t="s">
        <v>36</v>
      </c>
      <c r="N193" s="10" t="s">
        <v>37</v>
      </c>
      <c r="O193" s="10" t="s">
        <v>38</v>
      </c>
      <c r="P193" s="10" t="s">
        <v>39</v>
      </c>
      <c r="Q193" s="10" t="s">
        <v>40</v>
      </c>
      <c r="R193" s="10" t="s">
        <v>41</v>
      </c>
      <c r="Y193" s="10" t="s">
        <v>382</v>
      </c>
      <c r="AA193" s="74" t="str">
        <f t="shared" si="3"/>
        <v>?</v>
      </c>
    </row>
    <row r="194" ht="14.25" customHeight="1">
      <c r="A194" s="10" t="str">
        <f t="shared" si="8"/>
        <v>?utm_source=selecione&amp;utm_medium=selecione&amp;utm_campaign=_selecione_selecione_selecione_selecione_selecione_selecione&amp;utm_content=___&amp;utm_term=##IDPlay##_</v>
      </c>
      <c r="C194" s="10" t="s">
        <v>34</v>
      </c>
      <c r="D194" s="10" t="s">
        <v>34</v>
      </c>
      <c r="F194" s="10" t="s">
        <v>34</v>
      </c>
      <c r="G194" s="10" t="s">
        <v>34</v>
      </c>
      <c r="H194" s="10" t="s">
        <v>34</v>
      </c>
      <c r="I194" s="10" t="s">
        <v>34</v>
      </c>
      <c r="J194" s="10" t="s">
        <v>34</v>
      </c>
      <c r="K194" s="10" t="s">
        <v>34</v>
      </c>
      <c r="L194" s="10" t="s">
        <v>35</v>
      </c>
      <c r="M194" s="10" t="s">
        <v>36</v>
      </c>
      <c r="N194" s="10" t="s">
        <v>37</v>
      </c>
      <c r="O194" s="10" t="s">
        <v>38</v>
      </c>
      <c r="P194" s="10" t="s">
        <v>39</v>
      </c>
      <c r="Q194" s="10" t="s">
        <v>40</v>
      </c>
      <c r="R194" s="10" t="s">
        <v>41</v>
      </c>
      <c r="Y194" s="10" t="s">
        <v>382</v>
      </c>
      <c r="AA194" s="74" t="str">
        <f t="shared" si="3"/>
        <v>?</v>
      </c>
    </row>
    <row r="195" ht="14.25" customHeight="1">
      <c r="A195" s="10" t="str">
        <f t="shared" si="8"/>
        <v>?utm_source=selecione&amp;utm_medium=selecione&amp;utm_campaign=_selecione_selecione_selecione_selecione_selecione_selecione&amp;utm_content=___&amp;utm_term=##IDPlay##_</v>
      </c>
      <c r="C195" s="10" t="s">
        <v>34</v>
      </c>
      <c r="D195" s="10" t="s">
        <v>34</v>
      </c>
      <c r="F195" s="10" t="s">
        <v>34</v>
      </c>
      <c r="G195" s="10" t="s">
        <v>34</v>
      </c>
      <c r="H195" s="10" t="s">
        <v>34</v>
      </c>
      <c r="I195" s="10" t="s">
        <v>34</v>
      </c>
      <c r="J195" s="10" t="s">
        <v>34</v>
      </c>
      <c r="K195" s="10" t="s">
        <v>34</v>
      </c>
      <c r="L195" s="10" t="s">
        <v>35</v>
      </c>
      <c r="M195" s="10" t="s">
        <v>36</v>
      </c>
      <c r="N195" s="10" t="s">
        <v>37</v>
      </c>
      <c r="O195" s="10" t="s">
        <v>38</v>
      </c>
      <c r="P195" s="10" t="s">
        <v>39</v>
      </c>
      <c r="Q195" s="10" t="s">
        <v>40</v>
      </c>
      <c r="R195" s="10" t="s">
        <v>41</v>
      </c>
      <c r="Y195" s="10" t="s">
        <v>382</v>
      </c>
      <c r="AA195" s="74" t="str">
        <f t="shared" si="3"/>
        <v>?</v>
      </c>
    </row>
    <row r="196" ht="14.25" customHeight="1">
      <c r="A196" s="10" t="str">
        <f t="shared" si="8"/>
        <v>?utm_source=selecione&amp;utm_medium=selecione&amp;utm_campaign=_selecione_selecione_selecione_selecione_selecione_selecione&amp;utm_content=___&amp;utm_term=##IDPlay##_</v>
      </c>
      <c r="C196" s="10" t="s">
        <v>34</v>
      </c>
      <c r="D196" s="10" t="s">
        <v>34</v>
      </c>
      <c r="F196" s="10" t="s">
        <v>34</v>
      </c>
      <c r="G196" s="10" t="s">
        <v>34</v>
      </c>
      <c r="H196" s="10" t="s">
        <v>34</v>
      </c>
      <c r="I196" s="10" t="s">
        <v>34</v>
      </c>
      <c r="J196" s="10" t="s">
        <v>34</v>
      </c>
      <c r="K196" s="10" t="s">
        <v>34</v>
      </c>
      <c r="L196" s="10" t="s">
        <v>35</v>
      </c>
      <c r="M196" s="10" t="s">
        <v>36</v>
      </c>
      <c r="N196" s="10" t="s">
        <v>37</v>
      </c>
      <c r="O196" s="10" t="s">
        <v>38</v>
      </c>
      <c r="P196" s="10" t="s">
        <v>39</v>
      </c>
      <c r="Q196" s="10" t="s">
        <v>40</v>
      </c>
      <c r="R196" s="10" t="s">
        <v>41</v>
      </c>
      <c r="Y196" s="10" t="s">
        <v>382</v>
      </c>
      <c r="AA196" s="74" t="str">
        <f t="shared" si="3"/>
        <v>?</v>
      </c>
    </row>
    <row r="197" ht="14.25" customHeight="1">
      <c r="A197" s="10" t="str">
        <f t="shared" si="8"/>
        <v>?utm_source=selecione&amp;utm_medium=selecione&amp;utm_campaign=_selecione_selecione_selecione_selecione_selecione_selecione&amp;utm_content=___&amp;utm_term=##IDPlay##_</v>
      </c>
      <c r="C197" s="10" t="s">
        <v>34</v>
      </c>
      <c r="D197" s="10" t="s">
        <v>34</v>
      </c>
      <c r="F197" s="10" t="s">
        <v>34</v>
      </c>
      <c r="G197" s="10" t="s">
        <v>34</v>
      </c>
      <c r="H197" s="10" t="s">
        <v>34</v>
      </c>
      <c r="I197" s="10" t="s">
        <v>34</v>
      </c>
      <c r="J197" s="10" t="s">
        <v>34</v>
      </c>
      <c r="K197" s="10" t="s">
        <v>34</v>
      </c>
      <c r="L197" s="10" t="s">
        <v>35</v>
      </c>
      <c r="M197" s="10" t="s">
        <v>36</v>
      </c>
      <c r="N197" s="10" t="s">
        <v>37</v>
      </c>
      <c r="O197" s="10" t="s">
        <v>38</v>
      </c>
      <c r="P197" s="10" t="s">
        <v>39</v>
      </c>
      <c r="Q197" s="10" t="s">
        <v>40</v>
      </c>
      <c r="R197" s="10" t="s">
        <v>41</v>
      </c>
      <c r="Y197" s="10" t="s">
        <v>382</v>
      </c>
      <c r="AA197" s="74" t="str">
        <f t="shared" si="3"/>
        <v>?</v>
      </c>
    </row>
    <row r="198" ht="14.25" customHeight="1">
      <c r="A198" s="10" t="str">
        <f t="shared" si="8"/>
        <v>?utm_source=selecione&amp;utm_medium=selecione&amp;utm_campaign=_selecione_selecione_selecione_selecione_selecione_selecione&amp;utm_content=___&amp;utm_term=##IDPlay##_</v>
      </c>
      <c r="C198" s="10" t="s">
        <v>34</v>
      </c>
      <c r="D198" s="10" t="s">
        <v>34</v>
      </c>
      <c r="F198" s="10" t="s">
        <v>34</v>
      </c>
      <c r="G198" s="10" t="s">
        <v>34</v>
      </c>
      <c r="H198" s="10" t="s">
        <v>34</v>
      </c>
      <c r="I198" s="10" t="s">
        <v>34</v>
      </c>
      <c r="J198" s="10" t="s">
        <v>34</v>
      </c>
      <c r="K198" s="10" t="s">
        <v>34</v>
      </c>
      <c r="L198" s="10" t="s">
        <v>35</v>
      </c>
      <c r="M198" s="10" t="s">
        <v>36</v>
      </c>
      <c r="N198" s="10" t="s">
        <v>37</v>
      </c>
      <c r="O198" s="10" t="s">
        <v>38</v>
      </c>
      <c r="P198" s="10" t="s">
        <v>39</v>
      </c>
      <c r="Q198" s="10" t="s">
        <v>40</v>
      </c>
      <c r="R198" s="10" t="s">
        <v>41</v>
      </c>
      <c r="Y198" s="10" t="s">
        <v>382</v>
      </c>
      <c r="AA198" s="74" t="str">
        <f t="shared" si="3"/>
        <v>?</v>
      </c>
    </row>
    <row r="199" ht="14.25" customHeight="1">
      <c r="A199" s="10" t="str">
        <f t="shared" si="8"/>
        <v>?utm_source=selecione&amp;utm_medium=selecione&amp;utm_campaign=_selecione_selecione_selecione_selecione_selecione_selecione&amp;utm_content=___&amp;utm_term=##IDPlay##_</v>
      </c>
      <c r="C199" s="10" t="s">
        <v>34</v>
      </c>
      <c r="D199" s="10" t="s">
        <v>34</v>
      </c>
      <c r="F199" s="10" t="s">
        <v>34</v>
      </c>
      <c r="G199" s="10" t="s">
        <v>34</v>
      </c>
      <c r="H199" s="10" t="s">
        <v>34</v>
      </c>
      <c r="I199" s="10" t="s">
        <v>34</v>
      </c>
      <c r="J199" s="10" t="s">
        <v>34</v>
      </c>
      <c r="K199" s="10" t="s">
        <v>34</v>
      </c>
      <c r="L199" s="10" t="s">
        <v>35</v>
      </c>
      <c r="M199" s="10" t="s">
        <v>36</v>
      </c>
      <c r="N199" s="10" t="s">
        <v>37</v>
      </c>
      <c r="O199" s="10" t="s">
        <v>38</v>
      </c>
      <c r="P199" s="10" t="s">
        <v>39</v>
      </c>
      <c r="Q199" s="10" t="s">
        <v>40</v>
      </c>
      <c r="R199" s="10" t="s">
        <v>41</v>
      </c>
      <c r="Y199" s="10" t="s">
        <v>382</v>
      </c>
      <c r="AA199" s="74" t="str">
        <f t="shared" si="3"/>
        <v>?</v>
      </c>
    </row>
    <row r="200" ht="14.25" customHeight="1">
      <c r="A200" s="10" t="str">
        <f t="shared" si="8"/>
        <v>?utm_source=selecione&amp;utm_medium=selecione&amp;utm_campaign=_selecione_selecione_selecione_selecione_selecione_selecione&amp;utm_content=___&amp;utm_term=##IDPlay##_</v>
      </c>
      <c r="C200" s="10" t="s">
        <v>34</v>
      </c>
      <c r="D200" s="10" t="s">
        <v>34</v>
      </c>
      <c r="F200" s="10" t="s">
        <v>34</v>
      </c>
      <c r="G200" s="10" t="s">
        <v>34</v>
      </c>
      <c r="H200" s="10" t="s">
        <v>34</v>
      </c>
      <c r="I200" s="10" t="s">
        <v>34</v>
      </c>
      <c r="J200" s="10" t="s">
        <v>34</v>
      </c>
      <c r="K200" s="10" t="s">
        <v>34</v>
      </c>
      <c r="L200" s="10" t="s">
        <v>35</v>
      </c>
      <c r="M200" s="10" t="s">
        <v>36</v>
      </c>
      <c r="N200" s="10" t="s">
        <v>37</v>
      </c>
      <c r="O200" s="10" t="s">
        <v>38</v>
      </c>
      <c r="P200" s="10" t="s">
        <v>39</v>
      </c>
      <c r="Q200" s="10" t="s">
        <v>40</v>
      </c>
      <c r="R200" s="10" t="s">
        <v>41</v>
      </c>
      <c r="Y200" s="10" t="s">
        <v>382</v>
      </c>
      <c r="AA200" s="74" t="str">
        <f t="shared" si="3"/>
        <v>?</v>
      </c>
    </row>
    <row r="201" ht="14.25" customHeight="1">
      <c r="A201" s="10" t="str">
        <f t="shared" si="8"/>
        <v>?utm_source=selecione&amp;utm_medium=selecione&amp;utm_campaign=_selecione_selecione_selecione_selecione_selecione_selecione&amp;utm_content=___&amp;utm_term=##IDPlay##_</v>
      </c>
      <c r="C201" s="10" t="s">
        <v>34</v>
      </c>
      <c r="D201" s="10" t="s">
        <v>34</v>
      </c>
      <c r="F201" s="10" t="s">
        <v>34</v>
      </c>
      <c r="G201" s="10" t="s">
        <v>34</v>
      </c>
      <c r="H201" s="10" t="s">
        <v>34</v>
      </c>
      <c r="I201" s="10" t="s">
        <v>34</v>
      </c>
      <c r="J201" s="10" t="s">
        <v>34</v>
      </c>
      <c r="K201" s="10" t="s">
        <v>34</v>
      </c>
      <c r="L201" s="10" t="s">
        <v>35</v>
      </c>
      <c r="M201" s="10" t="s">
        <v>36</v>
      </c>
      <c r="N201" s="10" t="s">
        <v>37</v>
      </c>
      <c r="O201" s="10" t="s">
        <v>38</v>
      </c>
      <c r="P201" s="10" t="s">
        <v>39</v>
      </c>
      <c r="Q201" s="10" t="s">
        <v>40</v>
      </c>
      <c r="R201" s="10" t="s">
        <v>41</v>
      </c>
      <c r="Y201" s="10" t="s">
        <v>382</v>
      </c>
      <c r="AA201" s="74" t="str">
        <f t="shared" si="3"/>
        <v>?</v>
      </c>
    </row>
    <row r="202" ht="14.25" customHeight="1">
      <c r="A202" s="10" t="str">
        <f t="shared" si="8"/>
        <v>?utm_source=selecione&amp;utm_medium=selecione&amp;utm_campaign=_selecione_selecione_selecione_selecione_selecione_selecione&amp;utm_content=___&amp;utm_term=##IDPlay##_</v>
      </c>
      <c r="C202" s="10" t="s">
        <v>34</v>
      </c>
      <c r="D202" s="10" t="s">
        <v>34</v>
      </c>
      <c r="F202" s="10" t="s">
        <v>34</v>
      </c>
      <c r="G202" s="10" t="s">
        <v>34</v>
      </c>
      <c r="H202" s="10" t="s">
        <v>34</v>
      </c>
      <c r="I202" s="10" t="s">
        <v>34</v>
      </c>
      <c r="J202" s="10" t="s">
        <v>34</v>
      </c>
      <c r="K202" s="10" t="s">
        <v>34</v>
      </c>
      <c r="L202" s="10" t="s">
        <v>35</v>
      </c>
      <c r="M202" s="10" t="s">
        <v>36</v>
      </c>
      <c r="N202" s="10" t="s">
        <v>37</v>
      </c>
      <c r="O202" s="10" t="s">
        <v>38</v>
      </c>
      <c r="P202" s="10" t="s">
        <v>39</v>
      </c>
      <c r="Q202" s="10" t="s">
        <v>40</v>
      </c>
      <c r="R202" s="10" t="s">
        <v>41</v>
      </c>
      <c r="Y202" s="10" t="s">
        <v>382</v>
      </c>
      <c r="AA202" s="74" t="str">
        <f t="shared" si="3"/>
        <v>?</v>
      </c>
    </row>
    <row r="203" ht="14.25" customHeight="1">
      <c r="A203" s="10" t="str">
        <f t="shared" si="8"/>
        <v>?utm_source=selecione&amp;utm_medium=selecione&amp;utm_campaign=_selecione_selecione_selecione_selecione_selecione_selecione&amp;utm_content=___&amp;utm_term=##IDPlay##_</v>
      </c>
      <c r="C203" s="10" t="s">
        <v>34</v>
      </c>
      <c r="D203" s="10" t="s">
        <v>34</v>
      </c>
      <c r="F203" s="10" t="s">
        <v>34</v>
      </c>
      <c r="G203" s="10" t="s">
        <v>34</v>
      </c>
      <c r="H203" s="10" t="s">
        <v>34</v>
      </c>
      <c r="I203" s="10" t="s">
        <v>34</v>
      </c>
      <c r="J203" s="10" t="s">
        <v>34</v>
      </c>
      <c r="K203" s="10" t="s">
        <v>34</v>
      </c>
      <c r="L203" s="10" t="s">
        <v>35</v>
      </c>
      <c r="M203" s="10" t="s">
        <v>36</v>
      </c>
      <c r="N203" s="10" t="s">
        <v>37</v>
      </c>
      <c r="O203" s="10" t="s">
        <v>38</v>
      </c>
      <c r="P203" s="10" t="s">
        <v>39</v>
      </c>
      <c r="Q203" s="10" t="s">
        <v>40</v>
      </c>
      <c r="R203" s="10" t="s">
        <v>41</v>
      </c>
      <c r="Y203" s="10" t="s">
        <v>382</v>
      </c>
      <c r="AA203" s="74" t="str">
        <f t="shared" si="3"/>
        <v>?</v>
      </c>
    </row>
    <row r="204" ht="14.25" customHeight="1">
      <c r="A204" s="10" t="str">
        <f t="shared" si="8"/>
        <v>?utm_source=selecione&amp;utm_medium=selecione&amp;utm_campaign=_selecione_selecione_selecione_selecione_selecione_selecione&amp;utm_content=___&amp;utm_term=##IDPlay##_</v>
      </c>
      <c r="C204" s="10" t="s">
        <v>34</v>
      </c>
      <c r="D204" s="10" t="s">
        <v>34</v>
      </c>
      <c r="F204" s="10" t="s">
        <v>34</v>
      </c>
      <c r="G204" s="10" t="s">
        <v>34</v>
      </c>
      <c r="H204" s="10" t="s">
        <v>34</v>
      </c>
      <c r="I204" s="10" t="s">
        <v>34</v>
      </c>
      <c r="J204" s="10" t="s">
        <v>34</v>
      </c>
      <c r="K204" s="10" t="s">
        <v>34</v>
      </c>
      <c r="L204" s="10" t="s">
        <v>35</v>
      </c>
      <c r="M204" s="10" t="s">
        <v>36</v>
      </c>
      <c r="N204" s="10" t="s">
        <v>37</v>
      </c>
      <c r="O204" s="10" t="s">
        <v>38</v>
      </c>
      <c r="P204" s="10" t="s">
        <v>39</v>
      </c>
      <c r="Q204" s="10" t="s">
        <v>40</v>
      </c>
      <c r="R204" s="10" t="s">
        <v>41</v>
      </c>
      <c r="Y204" s="10" t="s">
        <v>382</v>
      </c>
      <c r="AA204" s="74" t="str">
        <f t="shared" si="3"/>
        <v>?</v>
      </c>
    </row>
    <row r="205" ht="14.25" customHeight="1">
      <c r="A205" s="10" t="str">
        <f t="shared" si="8"/>
        <v>?utm_source=selecione&amp;utm_medium=selecione&amp;utm_campaign=_selecione_selecione_selecione_selecione_selecione_selecione&amp;utm_content=___&amp;utm_term=##IDPlay##_</v>
      </c>
      <c r="C205" s="10" t="s">
        <v>34</v>
      </c>
      <c r="D205" s="10" t="s">
        <v>34</v>
      </c>
      <c r="F205" s="10" t="s">
        <v>34</v>
      </c>
      <c r="G205" s="10" t="s">
        <v>34</v>
      </c>
      <c r="H205" s="10" t="s">
        <v>34</v>
      </c>
      <c r="I205" s="10" t="s">
        <v>34</v>
      </c>
      <c r="J205" s="10" t="s">
        <v>34</v>
      </c>
      <c r="K205" s="10" t="s">
        <v>34</v>
      </c>
      <c r="L205" s="10" t="s">
        <v>35</v>
      </c>
      <c r="M205" s="10" t="s">
        <v>36</v>
      </c>
      <c r="N205" s="10" t="s">
        <v>37</v>
      </c>
      <c r="O205" s="10" t="s">
        <v>38</v>
      </c>
      <c r="P205" s="10" t="s">
        <v>39</v>
      </c>
      <c r="Q205" s="10" t="s">
        <v>40</v>
      </c>
      <c r="R205" s="10" t="s">
        <v>41</v>
      </c>
      <c r="Y205" s="10" t="s">
        <v>382</v>
      </c>
      <c r="AA205" s="74" t="str">
        <f t="shared" si="3"/>
        <v>?</v>
      </c>
    </row>
    <row r="206" ht="14.25" customHeight="1">
      <c r="A206" s="10" t="str">
        <f t="shared" si="8"/>
        <v>?utm_source=selecione&amp;utm_medium=selecione&amp;utm_campaign=_selecione_selecione_selecione_selecione_selecione_selecione&amp;utm_content=___&amp;utm_term=##IDPlay##_</v>
      </c>
      <c r="C206" s="10" t="s">
        <v>34</v>
      </c>
      <c r="D206" s="10" t="s">
        <v>34</v>
      </c>
      <c r="F206" s="10" t="s">
        <v>34</v>
      </c>
      <c r="G206" s="10" t="s">
        <v>34</v>
      </c>
      <c r="H206" s="10" t="s">
        <v>34</v>
      </c>
      <c r="I206" s="10" t="s">
        <v>34</v>
      </c>
      <c r="J206" s="10" t="s">
        <v>34</v>
      </c>
      <c r="K206" s="10" t="s">
        <v>34</v>
      </c>
      <c r="L206" s="10" t="s">
        <v>35</v>
      </c>
      <c r="M206" s="10" t="s">
        <v>36</v>
      </c>
      <c r="N206" s="10" t="s">
        <v>37</v>
      </c>
      <c r="O206" s="10" t="s">
        <v>38</v>
      </c>
      <c r="P206" s="10" t="s">
        <v>39</v>
      </c>
      <c r="Q206" s="10" t="s">
        <v>40</v>
      </c>
      <c r="R206" s="10" t="s">
        <v>41</v>
      </c>
      <c r="Y206" s="10" t="s">
        <v>382</v>
      </c>
      <c r="AA206" s="74" t="str">
        <f t="shared" si="3"/>
        <v>?</v>
      </c>
    </row>
    <row r="207" ht="14.25" customHeight="1">
      <c r="A207" s="10" t="str">
        <f t="shared" si="8"/>
        <v>?utm_source=selecione&amp;utm_medium=selecione&amp;utm_campaign=_selecione_selecione_selecione_selecione_selecione_selecione&amp;utm_content=___&amp;utm_term=##IDPlay##_</v>
      </c>
      <c r="C207" s="10" t="s">
        <v>34</v>
      </c>
      <c r="D207" s="10" t="s">
        <v>34</v>
      </c>
      <c r="F207" s="10" t="s">
        <v>34</v>
      </c>
      <c r="G207" s="10" t="s">
        <v>34</v>
      </c>
      <c r="H207" s="10" t="s">
        <v>34</v>
      </c>
      <c r="I207" s="10" t="s">
        <v>34</v>
      </c>
      <c r="J207" s="10" t="s">
        <v>34</v>
      </c>
      <c r="K207" s="10" t="s">
        <v>34</v>
      </c>
      <c r="L207" s="10" t="s">
        <v>35</v>
      </c>
      <c r="M207" s="10" t="s">
        <v>36</v>
      </c>
      <c r="N207" s="10" t="s">
        <v>37</v>
      </c>
      <c r="O207" s="10" t="s">
        <v>38</v>
      </c>
      <c r="P207" s="10" t="s">
        <v>39</v>
      </c>
      <c r="Q207" s="10" t="s">
        <v>40</v>
      </c>
      <c r="R207" s="10" t="s">
        <v>41</v>
      </c>
      <c r="Y207" s="10" t="s">
        <v>382</v>
      </c>
      <c r="AA207" s="74" t="str">
        <f t="shared" si="3"/>
        <v>?</v>
      </c>
    </row>
    <row r="208" ht="14.25" customHeight="1">
      <c r="A208" s="10" t="str">
        <f t="shared" si="8"/>
        <v>?utm_source=selecione&amp;utm_medium=selecione&amp;utm_campaign=_selecione_selecione_selecione_selecione_selecione_selecione&amp;utm_content=___&amp;utm_term=##IDPlay##_</v>
      </c>
      <c r="C208" s="10" t="s">
        <v>34</v>
      </c>
      <c r="D208" s="10" t="s">
        <v>34</v>
      </c>
      <c r="F208" s="10" t="s">
        <v>34</v>
      </c>
      <c r="G208" s="10" t="s">
        <v>34</v>
      </c>
      <c r="H208" s="10" t="s">
        <v>34</v>
      </c>
      <c r="I208" s="10" t="s">
        <v>34</v>
      </c>
      <c r="J208" s="10" t="s">
        <v>34</v>
      </c>
      <c r="K208" s="10" t="s">
        <v>34</v>
      </c>
      <c r="L208" s="10" t="s">
        <v>35</v>
      </c>
      <c r="M208" s="10" t="s">
        <v>36</v>
      </c>
      <c r="N208" s="10" t="s">
        <v>37</v>
      </c>
      <c r="O208" s="10" t="s">
        <v>38</v>
      </c>
      <c r="P208" s="10" t="s">
        <v>39</v>
      </c>
      <c r="Q208" s="10" t="s">
        <v>40</v>
      </c>
      <c r="R208" s="10" t="s">
        <v>41</v>
      </c>
      <c r="Y208" s="10" t="s">
        <v>382</v>
      </c>
      <c r="AA208" s="74" t="str">
        <f t="shared" si="3"/>
        <v>?</v>
      </c>
    </row>
    <row r="209" ht="14.25" customHeight="1">
      <c r="A209" s="10" t="str">
        <f t="shared" si="8"/>
        <v>?utm_source=selecione&amp;utm_medium=selecione&amp;utm_campaign=_selecione_selecione_selecione_selecione_selecione_selecione&amp;utm_content=___&amp;utm_term=##IDPlay##_</v>
      </c>
      <c r="C209" s="10" t="s">
        <v>34</v>
      </c>
      <c r="D209" s="10" t="s">
        <v>34</v>
      </c>
      <c r="F209" s="10" t="s">
        <v>34</v>
      </c>
      <c r="G209" s="10" t="s">
        <v>34</v>
      </c>
      <c r="H209" s="10" t="s">
        <v>34</v>
      </c>
      <c r="I209" s="10" t="s">
        <v>34</v>
      </c>
      <c r="J209" s="10" t="s">
        <v>34</v>
      </c>
      <c r="K209" s="10" t="s">
        <v>34</v>
      </c>
      <c r="L209" s="10" t="s">
        <v>35</v>
      </c>
      <c r="M209" s="10" t="s">
        <v>36</v>
      </c>
      <c r="N209" s="10" t="s">
        <v>37</v>
      </c>
      <c r="O209" s="10" t="s">
        <v>38</v>
      </c>
      <c r="P209" s="10" t="s">
        <v>39</v>
      </c>
      <c r="Q209" s="10" t="s">
        <v>40</v>
      </c>
      <c r="R209" s="10" t="s">
        <v>41</v>
      </c>
      <c r="Y209" s="10" t="s">
        <v>382</v>
      </c>
      <c r="AA209" s="74" t="str">
        <f t="shared" si="3"/>
        <v>?</v>
      </c>
    </row>
    <row r="210" ht="14.25" customHeight="1">
      <c r="A210" s="10" t="str">
        <f t="shared" si="8"/>
        <v>?utm_source=selecione&amp;utm_medium=selecione&amp;utm_campaign=_selecione_selecione_selecione_selecione_selecione_selecione&amp;utm_content=___&amp;utm_term=##IDPlay##_</v>
      </c>
      <c r="C210" s="10" t="s">
        <v>34</v>
      </c>
      <c r="D210" s="10" t="s">
        <v>34</v>
      </c>
      <c r="F210" s="10" t="s">
        <v>34</v>
      </c>
      <c r="G210" s="10" t="s">
        <v>34</v>
      </c>
      <c r="H210" s="10" t="s">
        <v>34</v>
      </c>
      <c r="I210" s="10" t="s">
        <v>34</v>
      </c>
      <c r="J210" s="10" t="s">
        <v>34</v>
      </c>
      <c r="K210" s="10" t="s">
        <v>34</v>
      </c>
      <c r="L210" s="10" t="s">
        <v>35</v>
      </c>
      <c r="M210" s="10" t="s">
        <v>36</v>
      </c>
      <c r="N210" s="10" t="s">
        <v>37</v>
      </c>
      <c r="O210" s="10" t="s">
        <v>38</v>
      </c>
      <c r="P210" s="10" t="s">
        <v>39</v>
      </c>
      <c r="Q210" s="10" t="s">
        <v>40</v>
      </c>
      <c r="R210" s="10" t="s">
        <v>41</v>
      </c>
      <c r="Y210" s="10" t="s">
        <v>382</v>
      </c>
      <c r="AA210" s="74" t="str">
        <f t="shared" si="3"/>
        <v>?</v>
      </c>
    </row>
    <row r="211" ht="14.25" customHeight="1">
      <c r="A211" s="10" t="str">
        <f t="shared" si="8"/>
        <v>?utm_source=selecione&amp;utm_medium=selecione&amp;utm_campaign=_selecione_selecione_selecione_selecione_selecione_selecione&amp;utm_content=___&amp;utm_term=##IDPlay##_</v>
      </c>
      <c r="C211" s="10" t="s">
        <v>34</v>
      </c>
      <c r="D211" s="10" t="s">
        <v>34</v>
      </c>
      <c r="F211" s="10" t="s">
        <v>34</v>
      </c>
      <c r="G211" s="10" t="s">
        <v>34</v>
      </c>
      <c r="H211" s="10" t="s">
        <v>34</v>
      </c>
      <c r="I211" s="10" t="s">
        <v>34</v>
      </c>
      <c r="J211" s="10" t="s">
        <v>34</v>
      </c>
      <c r="K211" s="10" t="s">
        <v>34</v>
      </c>
      <c r="L211" s="10" t="s">
        <v>35</v>
      </c>
      <c r="M211" s="10" t="s">
        <v>36</v>
      </c>
      <c r="N211" s="10" t="s">
        <v>37</v>
      </c>
      <c r="O211" s="10" t="s">
        <v>38</v>
      </c>
      <c r="P211" s="10" t="s">
        <v>39</v>
      </c>
      <c r="Q211" s="10" t="s">
        <v>40</v>
      </c>
      <c r="R211" s="10" t="s">
        <v>41</v>
      </c>
      <c r="Y211" s="10" t="s">
        <v>382</v>
      </c>
      <c r="AA211" s="74" t="str">
        <f t="shared" si="3"/>
        <v>?</v>
      </c>
    </row>
    <row r="212" ht="14.25" customHeight="1">
      <c r="A212" s="10" t="str">
        <f t="shared" si="8"/>
        <v>?utm_source=selecione&amp;utm_medium=selecione&amp;utm_campaign=_selecione_selecione_selecione_selecione_selecione_selecione&amp;utm_content=___&amp;utm_term=##IDPlay##_</v>
      </c>
      <c r="C212" s="10" t="s">
        <v>34</v>
      </c>
      <c r="D212" s="10" t="s">
        <v>34</v>
      </c>
      <c r="F212" s="10" t="s">
        <v>34</v>
      </c>
      <c r="G212" s="10" t="s">
        <v>34</v>
      </c>
      <c r="H212" s="10" t="s">
        <v>34</v>
      </c>
      <c r="I212" s="10" t="s">
        <v>34</v>
      </c>
      <c r="J212" s="10" t="s">
        <v>34</v>
      </c>
      <c r="K212" s="10" t="s">
        <v>34</v>
      </c>
      <c r="L212" s="10" t="s">
        <v>35</v>
      </c>
      <c r="M212" s="10" t="s">
        <v>36</v>
      </c>
      <c r="N212" s="10" t="s">
        <v>37</v>
      </c>
      <c r="O212" s="10" t="s">
        <v>38</v>
      </c>
      <c r="P212" s="10" t="s">
        <v>39</v>
      </c>
      <c r="Q212" s="10" t="s">
        <v>40</v>
      </c>
      <c r="R212" s="10" t="s">
        <v>41</v>
      </c>
      <c r="Y212" s="10" t="s">
        <v>382</v>
      </c>
      <c r="AA212" s="74" t="str">
        <f t="shared" si="3"/>
        <v>?</v>
      </c>
    </row>
    <row r="213" ht="14.25" customHeight="1">
      <c r="A213" s="10" t="str">
        <f t="shared" si="8"/>
        <v>?utm_source=selecione&amp;utm_medium=selecione&amp;utm_campaign=_selecione_selecione_selecione_selecione_selecione_selecione&amp;utm_content=___&amp;utm_term=##IDPlay##_</v>
      </c>
      <c r="C213" s="10" t="s">
        <v>34</v>
      </c>
      <c r="D213" s="10" t="s">
        <v>34</v>
      </c>
      <c r="F213" s="10" t="s">
        <v>34</v>
      </c>
      <c r="G213" s="10" t="s">
        <v>34</v>
      </c>
      <c r="H213" s="10" t="s">
        <v>34</v>
      </c>
      <c r="I213" s="10" t="s">
        <v>34</v>
      </c>
      <c r="J213" s="10" t="s">
        <v>34</v>
      </c>
      <c r="K213" s="10" t="s">
        <v>34</v>
      </c>
      <c r="L213" s="10" t="s">
        <v>35</v>
      </c>
      <c r="M213" s="10" t="s">
        <v>36</v>
      </c>
      <c r="N213" s="10" t="s">
        <v>37</v>
      </c>
      <c r="O213" s="10" t="s">
        <v>38</v>
      </c>
      <c r="P213" s="10" t="s">
        <v>39</v>
      </c>
      <c r="Q213" s="10" t="s">
        <v>40</v>
      </c>
      <c r="R213" s="10" t="s">
        <v>41</v>
      </c>
      <c r="Y213" s="10" t="s">
        <v>382</v>
      </c>
      <c r="AA213" s="74" t="str">
        <f t="shared" si="3"/>
        <v>?</v>
      </c>
    </row>
    <row r="214" ht="14.25" customHeight="1">
      <c r="A214" s="10" t="str">
        <f t="shared" si="8"/>
        <v>?utm_source=selecione&amp;utm_medium=selecione&amp;utm_campaign=_selecione_selecione_selecione_selecione_selecione_selecione&amp;utm_content=___&amp;utm_term=##IDPlay##_</v>
      </c>
      <c r="C214" s="10" t="s">
        <v>34</v>
      </c>
      <c r="D214" s="10" t="s">
        <v>34</v>
      </c>
      <c r="F214" s="10" t="s">
        <v>34</v>
      </c>
      <c r="G214" s="10" t="s">
        <v>34</v>
      </c>
      <c r="H214" s="10" t="s">
        <v>34</v>
      </c>
      <c r="I214" s="10" t="s">
        <v>34</v>
      </c>
      <c r="J214" s="10" t="s">
        <v>34</v>
      </c>
      <c r="K214" s="10" t="s">
        <v>34</v>
      </c>
      <c r="L214" s="10" t="s">
        <v>35</v>
      </c>
      <c r="M214" s="10" t="s">
        <v>36</v>
      </c>
      <c r="N214" s="10" t="s">
        <v>37</v>
      </c>
      <c r="O214" s="10" t="s">
        <v>38</v>
      </c>
      <c r="P214" s="10" t="s">
        <v>39</v>
      </c>
      <c r="Q214" s="10" t="s">
        <v>40</v>
      </c>
      <c r="R214" s="10" t="s">
        <v>41</v>
      </c>
      <c r="Y214" s="10" t="s">
        <v>382</v>
      </c>
      <c r="AA214" s="74" t="str">
        <f t="shared" si="3"/>
        <v>?</v>
      </c>
    </row>
    <row r="215" ht="14.25" customHeight="1">
      <c r="A215" s="10" t="str">
        <f t="shared" si="8"/>
        <v>?utm_source=selecione&amp;utm_medium=selecione&amp;utm_campaign=_selecione_selecione_selecione_selecione_selecione_selecione&amp;utm_content=___&amp;utm_term=##IDPlay##_</v>
      </c>
      <c r="C215" s="10" t="s">
        <v>34</v>
      </c>
      <c r="D215" s="10" t="s">
        <v>34</v>
      </c>
      <c r="F215" s="10" t="s">
        <v>34</v>
      </c>
      <c r="G215" s="10" t="s">
        <v>34</v>
      </c>
      <c r="H215" s="10" t="s">
        <v>34</v>
      </c>
      <c r="I215" s="10" t="s">
        <v>34</v>
      </c>
      <c r="J215" s="10" t="s">
        <v>34</v>
      </c>
      <c r="K215" s="10" t="s">
        <v>34</v>
      </c>
      <c r="L215" s="10" t="s">
        <v>35</v>
      </c>
      <c r="M215" s="10" t="s">
        <v>36</v>
      </c>
      <c r="N215" s="10" t="s">
        <v>37</v>
      </c>
      <c r="O215" s="10" t="s">
        <v>38</v>
      </c>
      <c r="P215" s="10" t="s">
        <v>39</v>
      </c>
      <c r="Q215" s="10" t="s">
        <v>40</v>
      </c>
      <c r="R215" s="10" t="s">
        <v>41</v>
      </c>
      <c r="Y215" s="10" t="s">
        <v>382</v>
      </c>
      <c r="AA215" s="74" t="str">
        <f t="shared" si="3"/>
        <v>?</v>
      </c>
    </row>
    <row r="216" ht="14.25" customHeight="1">
      <c r="A216" s="10" t="str">
        <f t="shared" si="8"/>
        <v>?utm_source=selecione&amp;utm_medium=selecione&amp;utm_campaign=_selecione_selecione_selecione_selecione_selecione_selecione&amp;utm_content=___&amp;utm_term=##IDPlay##_</v>
      </c>
      <c r="C216" s="10" t="s">
        <v>34</v>
      </c>
      <c r="D216" s="10" t="s">
        <v>34</v>
      </c>
      <c r="F216" s="10" t="s">
        <v>34</v>
      </c>
      <c r="G216" s="10" t="s">
        <v>34</v>
      </c>
      <c r="H216" s="10" t="s">
        <v>34</v>
      </c>
      <c r="I216" s="10" t="s">
        <v>34</v>
      </c>
      <c r="J216" s="10" t="s">
        <v>34</v>
      </c>
      <c r="K216" s="10" t="s">
        <v>34</v>
      </c>
      <c r="L216" s="10" t="s">
        <v>35</v>
      </c>
      <c r="M216" s="10" t="s">
        <v>36</v>
      </c>
      <c r="N216" s="10" t="s">
        <v>37</v>
      </c>
      <c r="O216" s="10" t="s">
        <v>38</v>
      </c>
      <c r="P216" s="10" t="s">
        <v>39</v>
      </c>
      <c r="Q216" s="10" t="s">
        <v>40</v>
      </c>
      <c r="R216" s="10" t="s">
        <v>41</v>
      </c>
      <c r="Y216" s="10" t="s">
        <v>382</v>
      </c>
      <c r="AA216" s="74" t="str">
        <f t="shared" si="3"/>
        <v>?</v>
      </c>
    </row>
    <row r="217" ht="14.25" customHeight="1">
      <c r="A217" s="10" t="str">
        <f t="shared" si="8"/>
        <v>?utm_source=selecione&amp;utm_medium=selecione&amp;utm_campaign=_selecione_selecione_selecione_selecione_selecione_selecione&amp;utm_content=___&amp;utm_term=##IDPlay##_</v>
      </c>
      <c r="C217" s="10" t="s">
        <v>34</v>
      </c>
      <c r="D217" s="10" t="s">
        <v>34</v>
      </c>
      <c r="F217" s="10" t="s">
        <v>34</v>
      </c>
      <c r="G217" s="10" t="s">
        <v>34</v>
      </c>
      <c r="H217" s="10" t="s">
        <v>34</v>
      </c>
      <c r="I217" s="10" t="s">
        <v>34</v>
      </c>
      <c r="J217" s="10" t="s">
        <v>34</v>
      </c>
      <c r="K217" s="10" t="s">
        <v>34</v>
      </c>
      <c r="L217" s="10" t="s">
        <v>35</v>
      </c>
      <c r="M217" s="10" t="s">
        <v>36</v>
      </c>
      <c r="N217" s="10" t="s">
        <v>37</v>
      </c>
      <c r="O217" s="10" t="s">
        <v>38</v>
      </c>
      <c r="P217" s="10" t="s">
        <v>39</v>
      </c>
      <c r="Q217" s="10" t="s">
        <v>40</v>
      </c>
      <c r="R217" s="10" t="s">
        <v>41</v>
      </c>
      <c r="Y217" s="10" t="s">
        <v>382</v>
      </c>
      <c r="AA217" s="74" t="str">
        <f t="shared" si="3"/>
        <v>?</v>
      </c>
    </row>
    <row r="218" ht="14.25" customHeight="1">
      <c r="A218" s="10" t="str">
        <f t="shared" si="8"/>
        <v>?utm_source=selecione&amp;utm_medium=selecione&amp;utm_campaign=_selecione_selecione_selecione_selecione_selecione_selecione&amp;utm_content=___&amp;utm_term=##IDPlay##_</v>
      </c>
      <c r="C218" s="10" t="s">
        <v>34</v>
      </c>
      <c r="D218" s="10" t="s">
        <v>34</v>
      </c>
      <c r="F218" s="10" t="s">
        <v>34</v>
      </c>
      <c r="G218" s="10" t="s">
        <v>34</v>
      </c>
      <c r="H218" s="10" t="s">
        <v>34</v>
      </c>
      <c r="I218" s="10" t="s">
        <v>34</v>
      </c>
      <c r="J218" s="10" t="s">
        <v>34</v>
      </c>
      <c r="K218" s="10" t="s">
        <v>34</v>
      </c>
      <c r="L218" s="10" t="s">
        <v>35</v>
      </c>
      <c r="M218" s="10" t="s">
        <v>36</v>
      </c>
      <c r="N218" s="10" t="s">
        <v>37</v>
      </c>
      <c r="O218" s="10" t="s">
        <v>38</v>
      </c>
      <c r="P218" s="10" t="s">
        <v>39</v>
      </c>
      <c r="Q218" s="10" t="s">
        <v>40</v>
      </c>
      <c r="R218" s="10" t="s">
        <v>41</v>
      </c>
      <c r="Y218" s="10" t="s">
        <v>382</v>
      </c>
      <c r="AA218" s="74" t="str">
        <f t="shared" si="3"/>
        <v>?</v>
      </c>
    </row>
    <row r="219" ht="14.25" customHeight="1">
      <c r="A219" s="10" t="str">
        <f t="shared" si="8"/>
        <v>?utm_source=selecione&amp;utm_medium=selecione&amp;utm_campaign=_selecione_selecione_selecione_selecione_selecione_selecione&amp;utm_content=___&amp;utm_term=##IDPlay##_</v>
      </c>
      <c r="C219" s="10" t="s">
        <v>34</v>
      </c>
      <c r="D219" s="10" t="s">
        <v>34</v>
      </c>
      <c r="F219" s="10" t="s">
        <v>34</v>
      </c>
      <c r="G219" s="10" t="s">
        <v>34</v>
      </c>
      <c r="H219" s="10" t="s">
        <v>34</v>
      </c>
      <c r="I219" s="10" t="s">
        <v>34</v>
      </c>
      <c r="J219" s="10" t="s">
        <v>34</v>
      </c>
      <c r="K219" s="10" t="s">
        <v>34</v>
      </c>
      <c r="L219" s="10" t="s">
        <v>35</v>
      </c>
      <c r="M219" s="10" t="s">
        <v>36</v>
      </c>
      <c r="N219" s="10" t="s">
        <v>37</v>
      </c>
      <c r="O219" s="10" t="s">
        <v>38</v>
      </c>
      <c r="P219" s="10" t="s">
        <v>39</v>
      </c>
      <c r="Q219" s="10" t="s">
        <v>40</v>
      </c>
      <c r="R219" s="10" t="s">
        <v>41</v>
      </c>
      <c r="Y219" s="10" t="s">
        <v>382</v>
      </c>
      <c r="AA219" s="74" t="str">
        <f t="shared" si="3"/>
        <v>?</v>
      </c>
    </row>
    <row r="220" ht="14.25" customHeight="1">
      <c r="A220" s="10" t="str">
        <f t="shared" si="8"/>
        <v>?utm_source=selecione&amp;utm_medium=selecione&amp;utm_campaign=_selecione_selecione_selecione_selecione_selecione_selecione&amp;utm_content=___&amp;utm_term=##IDPlay##_</v>
      </c>
      <c r="C220" s="10" t="s">
        <v>34</v>
      </c>
      <c r="D220" s="10" t="s">
        <v>34</v>
      </c>
      <c r="F220" s="10" t="s">
        <v>34</v>
      </c>
      <c r="G220" s="10" t="s">
        <v>34</v>
      </c>
      <c r="H220" s="10" t="s">
        <v>34</v>
      </c>
      <c r="I220" s="10" t="s">
        <v>34</v>
      </c>
      <c r="J220" s="10" t="s">
        <v>34</v>
      </c>
      <c r="K220" s="10" t="s">
        <v>34</v>
      </c>
      <c r="L220" s="10" t="s">
        <v>35</v>
      </c>
      <c r="M220" s="10" t="s">
        <v>36</v>
      </c>
      <c r="N220" s="10" t="s">
        <v>37</v>
      </c>
      <c r="O220" s="10" t="s">
        <v>38</v>
      </c>
      <c r="P220" s="10" t="s">
        <v>39</v>
      </c>
      <c r="Q220" s="10" t="s">
        <v>40</v>
      </c>
      <c r="R220" s="10" t="s">
        <v>41</v>
      </c>
      <c r="Y220" s="10" t="s">
        <v>382</v>
      </c>
      <c r="AA220" s="74" t="str">
        <f t="shared" si="3"/>
        <v>?</v>
      </c>
    </row>
    <row r="221" ht="14.25" customHeight="1">
      <c r="A221" s="10" t="str">
        <f t="shared" si="8"/>
        <v>?utm_source=selecione&amp;utm_medium=selecione&amp;utm_campaign=_selecione_selecione_selecione_selecione_selecione_selecione&amp;utm_content=___&amp;utm_term=##IDPlay##_</v>
      </c>
      <c r="C221" s="10" t="s">
        <v>34</v>
      </c>
      <c r="D221" s="10" t="s">
        <v>34</v>
      </c>
      <c r="F221" s="10" t="s">
        <v>34</v>
      </c>
      <c r="G221" s="10" t="s">
        <v>34</v>
      </c>
      <c r="H221" s="10" t="s">
        <v>34</v>
      </c>
      <c r="I221" s="10" t="s">
        <v>34</v>
      </c>
      <c r="J221" s="10" t="s">
        <v>34</v>
      </c>
      <c r="K221" s="10" t="s">
        <v>34</v>
      </c>
      <c r="L221" s="10" t="s">
        <v>35</v>
      </c>
      <c r="M221" s="10" t="s">
        <v>36</v>
      </c>
      <c r="N221" s="10" t="s">
        <v>37</v>
      </c>
      <c r="O221" s="10" t="s">
        <v>38</v>
      </c>
      <c r="P221" s="10" t="s">
        <v>39</v>
      </c>
      <c r="Q221" s="10" t="s">
        <v>40</v>
      </c>
      <c r="R221" s="10" t="s">
        <v>41</v>
      </c>
      <c r="Y221" s="10" t="s">
        <v>382</v>
      </c>
      <c r="AA221" s="74" t="str">
        <f t="shared" si="3"/>
        <v>?</v>
      </c>
    </row>
    <row r="222" ht="14.25" customHeight="1">
      <c r="A222" s="10" t="str">
        <f t="shared" si="8"/>
        <v>?utm_source=selecione&amp;utm_medium=selecione&amp;utm_campaign=_selecione_selecione_selecione_selecione_selecione_selecione&amp;utm_content=___&amp;utm_term=##IDPlay##_</v>
      </c>
      <c r="C222" s="10" t="s">
        <v>34</v>
      </c>
      <c r="D222" s="10" t="s">
        <v>34</v>
      </c>
      <c r="F222" s="10" t="s">
        <v>34</v>
      </c>
      <c r="G222" s="10" t="s">
        <v>34</v>
      </c>
      <c r="H222" s="10" t="s">
        <v>34</v>
      </c>
      <c r="I222" s="10" t="s">
        <v>34</v>
      </c>
      <c r="J222" s="10" t="s">
        <v>34</v>
      </c>
      <c r="K222" s="10" t="s">
        <v>34</v>
      </c>
      <c r="L222" s="10" t="s">
        <v>35</v>
      </c>
      <c r="M222" s="10" t="s">
        <v>36</v>
      </c>
      <c r="N222" s="10" t="s">
        <v>37</v>
      </c>
      <c r="O222" s="10" t="s">
        <v>38</v>
      </c>
      <c r="P222" s="10" t="s">
        <v>39</v>
      </c>
      <c r="Q222" s="10" t="s">
        <v>40</v>
      </c>
      <c r="R222" s="10" t="s">
        <v>41</v>
      </c>
      <c r="Y222" s="10" t="s">
        <v>382</v>
      </c>
      <c r="AA222" s="74" t="str">
        <f t="shared" si="3"/>
        <v>?</v>
      </c>
    </row>
    <row r="223" ht="14.25" customHeight="1">
      <c r="A223" s="10" t="str">
        <f t="shared" si="8"/>
        <v>?utm_source=selecione&amp;utm_medium=selecione&amp;utm_campaign=_selecione_selecione_selecione_selecione_selecione_selecione&amp;utm_content=___&amp;utm_term=##IDPlay##_</v>
      </c>
      <c r="C223" s="10" t="s">
        <v>34</v>
      </c>
      <c r="D223" s="10" t="s">
        <v>34</v>
      </c>
      <c r="F223" s="10" t="s">
        <v>34</v>
      </c>
      <c r="G223" s="10" t="s">
        <v>34</v>
      </c>
      <c r="H223" s="10" t="s">
        <v>34</v>
      </c>
      <c r="I223" s="10" t="s">
        <v>34</v>
      </c>
      <c r="J223" s="10" t="s">
        <v>34</v>
      </c>
      <c r="K223" s="10" t="s">
        <v>34</v>
      </c>
      <c r="L223" s="10" t="s">
        <v>35</v>
      </c>
      <c r="M223" s="10" t="s">
        <v>36</v>
      </c>
      <c r="N223" s="10" t="s">
        <v>37</v>
      </c>
      <c r="O223" s="10" t="s">
        <v>38</v>
      </c>
      <c r="P223" s="10" t="s">
        <v>39</v>
      </c>
      <c r="Q223" s="10" t="s">
        <v>40</v>
      </c>
      <c r="R223" s="10" t="s">
        <v>41</v>
      </c>
      <c r="Y223" s="10" t="s">
        <v>382</v>
      </c>
      <c r="AA223" s="74" t="str">
        <f t="shared" si="3"/>
        <v>?</v>
      </c>
    </row>
    <row r="224" ht="14.25" customHeight="1">
      <c r="A224" s="10" t="str">
        <f t="shared" si="8"/>
        <v>?utm_source=selecione&amp;utm_medium=selecione&amp;utm_campaign=_selecione_selecione_selecione_selecione_selecione_selecione&amp;utm_content=___&amp;utm_term=##IDPlay##_</v>
      </c>
      <c r="C224" s="10" t="s">
        <v>34</v>
      </c>
      <c r="D224" s="10" t="s">
        <v>34</v>
      </c>
      <c r="F224" s="10" t="s">
        <v>34</v>
      </c>
      <c r="G224" s="10" t="s">
        <v>34</v>
      </c>
      <c r="H224" s="10" t="s">
        <v>34</v>
      </c>
      <c r="I224" s="10" t="s">
        <v>34</v>
      </c>
      <c r="J224" s="10" t="s">
        <v>34</v>
      </c>
      <c r="K224" s="10" t="s">
        <v>34</v>
      </c>
      <c r="L224" s="10" t="s">
        <v>35</v>
      </c>
      <c r="M224" s="10" t="s">
        <v>36</v>
      </c>
      <c r="N224" s="10" t="s">
        <v>37</v>
      </c>
      <c r="O224" s="10" t="s">
        <v>38</v>
      </c>
      <c r="P224" s="10" t="s">
        <v>39</v>
      </c>
      <c r="Q224" s="10" t="s">
        <v>40</v>
      </c>
      <c r="R224" s="10" t="s">
        <v>41</v>
      </c>
      <c r="Y224" s="10" t="s">
        <v>382</v>
      </c>
      <c r="AA224" s="74" t="str">
        <f t="shared" si="3"/>
        <v>?</v>
      </c>
    </row>
    <row r="225" ht="14.25" customHeight="1">
      <c r="A225" s="10" t="str">
        <f t="shared" si="8"/>
        <v>?utm_source=selecione&amp;utm_medium=selecione&amp;utm_campaign=_selecione_selecione_selecione_selecione_selecione_selecione&amp;utm_content=___&amp;utm_term=##IDPlay##_</v>
      </c>
      <c r="C225" s="10" t="s">
        <v>34</v>
      </c>
      <c r="D225" s="10" t="s">
        <v>34</v>
      </c>
      <c r="F225" s="10" t="s">
        <v>34</v>
      </c>
      <c r="G225" s="10" t="s">
        <v>34</v>
      </c>
      <c r="H225" s="10" t="s">
        <v>34</v>
      </c>
      <c r="I225" s="10" t="s">
        <v>34</v>
      </c>
      <c r="J225" s="10" t="s">
        <v>34</v>
      </c>
      <c r="K225" s="10" t="s">
        <v>34</v>
      </c>
      <c r="L225" s="10" t="s">
        <v>35</v>
      </c>
      <c r="M225" s="10" t="s">
        <v>36</v>
      </c>
      <c r="N225" s="10" t="s">
        <v>37</v>
      </c>
      <c r="O225" s="10" t="s">
        <v>38</v>
      </c>
      <c r="P225" s="10" t="s">
        <v>39</v>
      </c>
      <c r="Q225" s="10" t="s">
        <v>40</v>
      </c>
      <c r="R225" s="10" t="s">
        <v>41</v>
      </c>
      <c r="Y225" s="10" t="s">
        <v>382</v>
      </c>
      <c r="AA225" s="74" t="str">
        <f t="shared" si="3"/>
        <v>?</v>
      </c>
    </row>
    <row r="226" ht="14.25" customHeight="1">
      <c r="A226" s="10" t="str">
        <f t="shared" si="8"/>
        <v>?utm_source=selecione&amp;utm_medium=selecione&amp;utm_campaign=_selecione_selecione_selecione_selecione_selecione_selecione&amp;utm_content=___&amp;utm_term=##IDPlay##_</v>
      </c>
      <c r="C226" s="10" t="s">
        <v>34</v>
      </c>
      <c r="D226" s="10" t="s">
        <v>34</v>
      </c>
      <c r="F226" s="10" t="s">
        <v>34</v>
      </c>
      <c r="G226" s="10" t="s">
        <v>34</v>
      </c>
      <c r="H226" s="10" t="s">
        <v>34</v>
      </c>
      <c r="I226" s="10" t="s">
        <v>34</v>
      </c>
      <c r="J226" s="10" t="s">
        <v>34</v>
      </c>
      <c r="K226" s="10" t="s">
        <v>34</v>
      </c>
      <c r="L226" s="10" t="s">
        <v>35</v>
      </c>
      <c r="M226" s="10" t="s">
        <v>36</v>
      </c>
      <c r="N226" s="10" t="s">
        <v>37</v>
      </c>
      <c r="O226" s="10" t="s">
        <v>38</v>
      </c>
      <c r="P226" s="10" t="s">
        <v>39</v>
      </c>
      <c r="Q226" s="10" t="s">
        <v>40</v>
      </c>
      <c r="R226" s="10" t="s">
        <v>41</v>
      </c>
      <c r="Y226" s="10" t="s">
        <v>382</v>
      </c>
      <c r="AA226" s="74" t="str">
        <f t="shared" si="3"/>
        <v>?</v>
      </c>
    </row>
    <row r="227" ht="14.25" customHeight="1">
      <c r="A227" s="10" t="str">
        <f t="shared" si="8"/>
        <v>?utm_source=selecione&amp;utm_medium=selecione&amp;utm_campaign=_selecione_selecione_selecione_selecione_selecione_selecione&amp;utm_content=___&amp;utm_term=##IDPlay##_</v>
      </c>
      <c r="C227" s="10" t="s">
        <v>34</v>
      </c>
      <c r="D227" s="10" t="s">
        <v>34</v>
      </c>
      <c r="F227" s="10" t="s">
        <v>34</v>
      </c>
      <c r="G227" s="10" t="s">
        <v>34</v>
      </c>
      <c r="H227" s="10" t="s">
        <v>34</v>
      </c>
      <c r="I227" s="10" t="s">
        <v>34</v>
      </c>
      <c r="J227" s="10" t="s">
        <v>34</v>
      </c>
      <c r="K227" s="10" t="s">
        <v>34</v>
      </c>
      <c r="L227" s="10" t="s">
        <v>35</v>
      </c>
      <c r="M227" s="10" t="s">
        <v>36</v>
      </c>
      <c r="N227" s="10" t="s">
        <v>37</v>
      </c>
      <c r="O227" s="10" t="s">
        <v>38</v>
      </c>
      <c r="P227" s="10" t="s">
        <v>39</v>
      </c>
      <c r="Q227" s="10" t="s">
        <v>40</v>
      </c>
      <c r="R227" s="10" t="s">
        <v>41</v>
      </c>
      <c r="Y227" s="10" t="s">
        <v>382</v>
      </c>
      <c r="AA227" s="74" t="str">
        <f t="shared" si="3"/>
        <v>?</v>
      </c>
    </row>
    <row r="228" ht="14.25" customHeight="1">
      <c r="A228" s="10" t="str">
        <f t="shared" si="8"/>
        <v>?utm_source=selecione&amp;utm_medium=selecione&amp;utm_campaign=_selecione_selecione_selecione_selecione_selecione_selecione&amp;utm_content=___&amp;utm_term=##IDPlay##_</v>
      </c>
      <c r="C228" s="10" t="s">
        <v>34</v>
      </c>
      <c r="D228" s="10" t="s">
        <v>34</v>
      </c>
      <c r="F228" s="10" t="s">
        <v>34</v>
      </c>
      <c r="G228" s="10" t="s">
        <v>34</v>
      </c>
      <c r="H228" s="10" t="s">
        <v>34</v>
      </c>
      <c r="I228" s="10" t="s">
        <v>34</v>
      </c>
      <c r="J228" s="10" t="s">
        <v>34</v>
      </c>
      <c r="K228" s="10" t="s">
        <v>34</v>
      </c>
      <c r="L228" s="10" t="s">
        <v>35</v>
      </c>
      <c r="M228" s="10" t="s">
        <v>36</v>
      </c>
      <c r="N228" s="10" t="s">
        <v>37</v>
      </c>
      <c r="O228" s="10" t="s">
        <v>38</v>
      </c>
      <c r="P228" s="10" t="s">
        <v>39</v>
      </c>
      <c r="Q228" s="10" t="s">
        <v>40</v>
      </c>
      <c r="R228" s="10" t="s">
        <v>41</v>
      </c>
      <c r="Y228" s="10" t="s">
        <v>382</v>
      </c>
      <c r="AA228" s="74" t="str">
        <f t="shared" si="3"/>
        <v>?</v>
      </c>
    </row>
    <row r="229" ht="14.25" customHeight="1">
      <c r="A229" s="10" t="str">
        <f t="shared" si="8"/>
        <v>?utm_source=selecione&amp;utm_medium=selecione&amp;utm_campaign=_selecione_selecione_selecione_selecione_selecione_selecione&amp;utm_content=___&amp;utm_term=##IDPlay##_</v>
      </c>
      <c r="C229" s="10" t="s">
        <v>34</v>
      </c>
      <c r="D229" s="10" t="s">
        <v>34</v>
      </c>
      <c r="F229" s="10" t="s">
        <v>34</v>
      </c>
      <c r="G229" s="10" t="s">
        <v>34</v>
      </c>
      <c r="H229" s="10" t="s">
        <v>34</v>
      </c>
      <c r="I229" s="10" t="s">
        <v>34</v>
      </c>
      <c r="J229" s="10" t="s">
        <v>34</v>
      </c>
      <c r="K229" s="10" t="s">
        <v>34</v>
      </c>
      <c r="L229" s="10" t="s">
        <v>35</v>
      </c>
      <c r="M229" s="10" t="s">
        <v>36</v>
      </c>
      <c r="N229" s="10" t="s">
        <v>37</v>
      </c>
      <c r="O229" s="10" t="s">
        <v>38</v>
      </c>
      <c r="P229" s="10" t="s">
        <v>39</v>
      </c>
      <c r="Q229" s="10" t="s">
        <v>40</v>
      </c>
      <c r="R229" s="10" t="s">
        <v>41</v>
      </c>
      <c r="Y229" s="10" t="s">
        <v>382</v>
      </c>
      <c r="AA229" s="74" t="str">
        <f t="shared" si="3"/>
        <v>?</v>
      </c>
    </row>
    <row r="230" ht="14.25" customHeight="1">
      <c r="A230" s="10" t="str">
        <f t="shared" si="8"/>
        <v>?utm_source=selecione&amp;utm_medium=selecione&amp;utm_campaign=_selecione_selecione_selecione_selecione_selecione_selecione&amp;utm_content=___&amp;utm_term=##IDPlay##_</v>
      </c>
      <c r="C230" s="10" t="s">
        <v>34</v>
      </c>
      <c r="D230" s="10" t="s">
        <v>34</v>
      </c>
      <c r="F230" s="10" t="s">
        <v>34</v>
      </c>
      <c r="G230" s="10" t="s">
        <v>34</v>
      </c>
      <c r="H230" s="10" t="s">
        <v>34</v>
      </c>
      <c r="I230" s="10" t="s">
        <v>34</v>
      </c>
      <c r="J230" s="10" t="s">
        <v>34</v>
      </c>
      <c r="K230" s="10" t="s">
        <v>34</v>
      </c>
      <c r="L230" s="10" t="s">
        <v>35</v>
      </c>
      <c r="M230" s="10" t="s">
        <v>36</v>
      </c>
      <c r="N230" s="10" t="s">
        <v>37</v>
      </c>
      <c r="O230" s="10" t="s">
        <v>38</v>
      </c>
      <c r="P230" s="10" t="s">
        <v>39</v>
      </c>
      <c r="Q230" s="10" t="s">
        <v>40</v>
      </c>
      <c r="R230" s="10" t="s">
        <v>41</v>
      </c>
      <c r="Y230" s="10" t="s">
        <v>382</v>
      </c>
      <c r="AA230" s="74" t="str">
        <f t="shared" si="3"/>
        <v>?</v>
      </c>
    </row>
    <row r="231" ht="14.25" customHeight="1">
      <c r="A231" s="10" t="str">
        <f t="shared" si="8"/>
        <v>?utm_source=selecione&amp;utm_medium=selecione&amp;utm_campaign=_selecione_selecione_selecione_selecione_selecione_selecione&amp;utm_content=___&amp;utm_term=##IDPlay##_</v>
      </c>
      <c r="C231" s="10" t="s">
        <v>34</v>
      </c>
      <c r="D231" s="10" t="s">
        <v>34</v>
      </c>
      <c r="F231" s="10" t="s">
        <v>34</v>
      </c>
      <c r="G231" s="10" t="s">
        <v>34</v>
      </c>
      <c r="H231" s="10" t="s">
        <v>34</v>
      </c>
      <c r="I231" s="10" t="s">
        <v>34</v>
      </c>
      <c r="J231" s="10" t="s">
        <v>34</v>
      </c>
      <c r="K231" s="10" t="s">
        <v>34</v>
      </c>
      <c r="L231" s="10" t="s">
        <v>35</v>
      </c>
      <c r="M231" s="10" t="s">
        <v>36</v>
      </c>
      <c r="N231" s="10" t="s">
        <v>37</v>
      </c>
      <c r="O231" s="10" t="s">
        <v>38</v>
      </c>
      <c r="P231" s="10" t="s">
        <v>39</v>
      </c>
      <c r="Q231" s="10" t="s">
        <v>40</v>
      </c>
      <c r="R231" s="10" t="s">
        <v>41</v>
      </c>
      <c r="Y231" s="10" t="s">
        <v>382</v>
      </c>
      <c r="AA231" s="74" t="str">
        <f t="shared" si="3"/>
        <v>?</v>
      </c>
    </row>
    <row r="232" ht="14.25" customHeight="1">
      <c r="A232" s="10" t="str">
        <f t="shared" si="8"/>
        <v>?utm_source=selecione&amp;utm_medium=selecione&amp;utm_campaign=_selecione_selecione_selecione_selecione_selecione_selecione&amp;utm_content=___&amp;utm_term=##IDPlay##_</v>
      </c>
      <c r="C232" s="10" t="s">
        <v>34</v>
      </c>
      <c r="D232" s="10" t="s">
        <v>34</v>
      </c>
      <c r="F232" s="10" t="s">
        <v>34</v>
      </c>
      <c r="G232" s="10" t="s">
        <v>34</v>
      </c>
      <c r="H232" s="10" t="s">
        <v>34</v>
      </c>
      <c r="I232" s="10" t="s">
        <v>34</v>
      </c>
      <c r="J232" s="10" t="s">
        <v>34</v>
      </c>
      <c r="K232" s="10" t="s">
        <v>34</v>
      </c>
      <c r="L232" s="10" t="s">
        <v>35</v>
      </c>
      <c r="M232" s="10" t="s">
        <v>36</v>
      </c>
      <c r="N232" s="10" t="s">
        <v>37</v>
      </c>
      <c r="O232" s="10" t="s">
        <v>38</v>
      </c>
      <c r="P232" s="10" t="s">
        <v>39</v>
      </c>
      <c r="Q232" s="10" t="s">
        <v>40</v>
      </c>
      <c r="R232" s="10" t="s">
        <v>41</v>
      </c>
      <c r="Y232" s="10" t="s">
        <v>382</v>
      </c>
      <c r="AA232" s="74" t="str">
        <f t="shared" si="3"/>
        <v>?</v>
      </c>
    </row>
    <row r="233" ht="14.25" customHeight="1">
      <c r="A233" s="10" t="str">
        <f t="shared" si="8"/>
        <v>?utm_source=selecione&amp;utm_medium=selecione&amp;utm_campaign=_selecione_selecione_selecione_selecione_selecione_selecione&amp;utm_content=___&amp;utm_term=##IDPlay##_</v>
      </c>
      <c r="C233" s="10" t="s">
        <v>34</v>
      </c>
      <c r="D233" s="10" t="s">
        <v>34</v>
      </c>
      <c r="F233" s="10" t="s">
        <v>34</v>
      </c>
      <c r="G233" s="10" t="s">
        <v>34</v>
      </c>
      <c r="H233" s="10" t="s">
        <v>34</v>
      </c>
      <c r="I233" s="10" t="s">
        <v>34</v>
      </c>
      <c r="J233" s="10" t="s">
        <v>34</v>
      </c>
      <c r="K233" s="10" t="s">
        <v>34</v>
      </c>
      <c r="L233" s="10" t="s">
        <v>35</v>
      </c>
      <c r="M233" s="10" t="s">
        <v>36</v>
      </c>
      <c r="N233" s="10" t="s">
        <v>37</v>
      </c>
      <c r="O233" s="10" t="s">
        <v>38</v>
      </c>
      <c r="P233" s="10" t="s">
        <v>39</v>
      </c>
      <c r="Q233" s="10" t="s">
        <v>40</v>
      </c>
      <c r="R233" s="10" t="s">
        <v>41</v>
      </c>
      <c r="Y233" s="10" t="s">
        <v>382</v>
      </c>
      <c r="AA233" s="74" t="str">
        <f t="shared" si="3"/>
        <v>?</v>
      </c>
    </row>
    <row r="234" ht="14.25" customHeight="1">
      <c r="A234" s="10" t="str">
        <f t="shared" si="8"/>
        <v>?utm_source=selecione&amp;utm_medium=selecione&amp;utm_campaign=_selecione_selecione_selecione_selecione_selecione_selecione&amp;utm_content=___&amp;utm_term=##IDPlay##_</v>
      </c>
      <c r="C234" s="10" t="s">
        <v>34</v>
      </c>
      <c r="D234" s="10" t="s">
        <v>34</v>
      </c>
      <c r="F234" s="10" t="s">
        <v>34</v>
      </c>
      <c r="G234" s="10" t="s">
        <v>34</v>
      </c>
      <c r="H234" s="10" t="s">
        <v>34</v>
      </c>
      <c r="I234" s="10" t="s">
        <v>34</v>
      </c>
      <c r="J234" s="10" t="s">
        <v>34</v>
      </c>
      <c r="K234" s="10" t="s">
        <v>34</v>
      </c>
      <c r="L234" s="10" t="s">
        <v>35</v>
      </c>
      <c r="M234" s="10" t="s">
        <v>36</v>
      </c>
      <c r="N234" s="10" t="s">
        <v>37</v>
      </c>
      <c r="O234" s="10" t="s">
        <v>38</v>
      </c>
      <c r="P234" s="10" t="s">
        <v>39</v>
      </c>
      <c r="Q234" s="10" t="s">
        <v>40</v>
      </c>
      <c r="R234" s="10" t="s">
        <v>41</v>
      </c>
      <c r="Y234" s="10" t="s">
        <v>382</v>
      </c>
      <c r="AA234" s="74" t="str">
        <f t="shared" si="3"/>
        <v>?</v>
      </c>
    </row>
    <row r="235" ht="14.25" customHeight="1">
      <c r="A235" s="10" t="str">
        <f t="shared" si="8"/>
        <v>?utm_source=selecione&amp;utm_medium=selecione&amp;utm_campaign=_selecione_selecione_selecione_selecione_selecione_selecione&amp;utm_content=___&amp;utm_term=##IDPlay##_</v>
      </c>
      <c r="C235" s="10" t="s">
        <v>34</v>
      </c>
      <c r="D235" s="10" t="s">
        <v>34</v>
      </c>
      <c r="F235" s="10" t="s">
        <v>34</v>
      </c>
      <c r="G235" s="10" t="s">
        <v>34</v>
      </c>
      <c r="H235" s="10" t="s">
        <v>34</v>
      </c>
      <c r="I235" s="10" t="s">
        <v>34</v>
      </c>
      <c r="J235" s="10" t="s">
        <v>34</v>
      </c>
      <c r="K235" s="10" t="s">
        <v>34</v>
      </c>
      <c r="L235" s="10" t="s">
        <v>35</v>
      </c>
      <c r="M235" s="10" t="s">
        <v>36</v>
      </c>
      <c r="N235" s="10" t="s">
        <v>37</v>
      </c>
      <c r="O235" s="10" t="s">
        <v>38</v>
      </c>
      <c r="P235" s="10" t="s">
        <v>39</v>
      </c>
      <c r="Q235" s="10" t="s">
        <v>40</v>
      </c>
      <c r="R235" s="10" t="s">
        <v>41</v>
      </c>
      <c r="Y235" s="10" t="s">
        <v>382</v>
      </c>
      <c r="AA235" s="74" t="str">
        <f t="shared" si="3"/>
        <v>?</v>
      </c>
    </row>
    <row r="236" ht="14.25" customHeight="1">
      <c r="A236" s="10" t="str">
        <f t="shared" si="8"/>
        <v>?utm_source=selecione&amp;utm_medium=selecione&amp;utm_campaign=_selecione_selecione_selecione_selecione_selecione_selecione&amp;utm_content=___&amp;utm_term=##IDPlay##_</v>
      </c>
      <c r="C236" s="10" t="s">
        <v>34</v>
      </c>
      <c r="D236" s="10" t="s">
        <v>34</v>
      </c>
      <c r="F236" s="10" t="s">
        <v>34</v>
      </c>
      <c r="G236" s="10" t="s">
        <v>34</v>
      </c>
      <c r="H236" s="10" t="s">
        <v>34</v>
      </c>
      <c r="I236" s="10" t="s">
        <v>34</v>
      </c>
      <c r="J236" s="10" t="s">
        <v>34</v>
      </c>
      <c r="K236" s="10" t="s">
        <v>34</v>
      </c>
      <c r="L236" s="10" t="s">
        <v>35</v>
      </c>
      <c r="M236" s="10" t="s">
        <v>36</v>
      </c>
      <c r="N236" s="10" t="s">
        <v>37</v>
      </c>
      <c r="O236" s="10" t="s">
        <v>38</v>
      </c>
      <c r="P236" s="10" t="s">
        <v>39</v>
      </c>
      <c r="Q236" s="10" t="s">
        <v>40</v>
      </c>
      <c r="R236" s="10" t="s">
        <v>41</v>
      </c>
      <c r="Y236" s="10" t="s">
        <v>382</v>
      </c>
      <c r="AA236" s="74" t="str">
        <f t="shared" si="3"/>
        <v>?</v>
      </c>
    </row>
    <row r="237" ht="14.25" customHeight="1">
      <c r="A237" s="10" t="str">
        <f t="shared" si="8"/>
        <v>?utm_source=selecione&amp;utm_medium=selecione&amp;utm_campaign=_selecione_selecione_selecione_selecione_selecione_selecione&amp;utm_content=___&amp;utm_term=##IDPlay##_</v>
      </c>
      <c r="C237" s="10" t="s">
        <v>34</v>
      </c>
      <c r="D237" s="10" t="s">
        <v>34</v>
      </c>
      <c r="F237" s="10" t="s">
        <v>34</v>
      </c>
      <c r="G237" s="10" t="s">
        <v>34</v>
      </c>
      <c r="H237" s="10" t="s">
        <v>34</v>
      </c>
      <c r="I237" s="10" t="s">
        <v>34</v>
      </c>
      <c r="J237" s="10" t="s">
        <v>34</v>
      </c>
      <c r="K237" s="10" t="s">
        <v>34</v>
      </c>
      <c r="L237" s="10" t="s">
        <v>35</v>
      </c>
      <c r="M237" s="10" t="s">
        <v>36</v>
      </c>
      <c r="N237" s="10" t="s">
        <v>37</v>
      </c>
      <c r="O237" s="10" t="s">
        <v>38</v>
      </c>
      <c r="P237" s="10" t="s">
        <v>39</v>
      </c>
      <c r="Q237" s="10" t="s">
        <v>40</v>
      </c>
      <c r="R237" s="10" t="s">
        <v>41</v>
      </c>
      <c r="Y237" s="10" t="s">
        <v>382</v>
      </c>
      <c r="AA237" s="74" t="str">
        <f t="shared" si="3"/>
        <v>?</v>
      </c>
    </row>
    <row r="238" ht="14.25" customHeight="1">
      <c r="A238" s="10" t="str">
        <f t="shared" si="8"/>
        <v>?utm_source=selecione&amp;utm_medium=selecione&amp;utm_campaign=_selecione_selecione_selecione_selecione_selecione_selecione&amp;utm_content=___&amp;utm_term=##IDPlay##_</v>
      </c>
      <c r="C238" s="10" t="s">
        <v>34</v>
      </c>
      <c r="D238" s="10" t="s">
        <v>34</v>
      </c>
      <c r="F238" s="10" t="s">
        <v>34</v>
      </c>
      <c r="G238" s="10" t="s">
        <v>34</v>
      </c>
      <c r="H238" s="10" t="s">
        <v>34</v>
      </c>
      <c r="I238" s="10" t="s">
        <v>34</v>
      </c>
      <c r="J238" s="10" t="s">
        <v>34</v>
      </c>
      <c r="K238" s="10" t="s">
        <v>34</v>
      </c>
      <c r="L238" s="10" t="s">
        <v>35</v>
      </c>
      <c r="M238" s="10" t="s">
        <v>36</v>
      </c>
      <c r="N238" s="10" t="s">
        <v>37</v>
      </c>
      <c r="O238" s="10" t="s">
        <v>38</v>
      </c>
      <c r="P238" s="10" t="s">
        <v>39</v>
      </c>
      <c r="Q238" s="10" t="s">
        <v>40</v>
      </c>
      <c r="R238" s="10" t="s">
        <v>41</v>
      </c>
      <c r="Y238" s="10" t="s">
        <v>382</v>
      </c>
      <c r="AA238" s="74" t="str">
        <f t="shared" si="3"/>
        <v>?</v>
      </c>
    </row>
    <row r="239" ht="14.25" customHeight="1">
      <c r="A239" s="10" t="str">
        <f t="shared" si="8"/>
        <v>?utm_source=selecione&amp;utm_medium=selecione&amp;utm_campaign=_selecione_selecione_selecione_selecione_selecione_selecione&amp;utm_content=___&amp;utm_term=##IDPlay##_</v>
      </c>
      <c r="C239" s="10" t="s">
        <v>34</v>
      </c>
      <c r="D239" s="10" t="s">
        <v>34</v>
      </c>
      <c r="F239" s="10" t="s">
        <v>34</v>
      </c>
      <c r="G239" s="10" t="s">
        <v>34</v>
      </c>
      <c r="H239" s="10" t="s">
        <v>34</v>
      </c>
      <c r="I239" s="10" t="s">
        <v>34</v>
      </c>
      <c r="J239" s="10" t="s">
        <v>34</v>
      </c>
      <c r="K239" s="10" t="s">
        <v>34</v>
      </c>
      <c r="L239" s="10" t="s">
        <v>35</v>
      </c>
      <c r="M239" s="10" t="s">
        <v>36</v>
      </c>
      <c r="N239" s="10" t="s">
        <v>37</v>
      </c>
      <c r="O239" s="10" t="s">
        <v>38</v>
      </c>
      <c r="P239" s="10" t="s">
        <v>39</v>
      </c>
      <c r="Q239" s="10" t="s">
        <v>40</v>
      </c>
      <c r="R239" s="10" t="s">
        <v>41</v>
      </c>
      <c r="Y239" s="10" t="s">
        <v>382</v>
      </c>
      <c r="AA239" s="74" t="str">
        <f t="shared" si="3"/>
        <v>?</v>
      </c>
    </row>
    <row r="240" ht="14.25" customHeight="1">
      <c r="A240" s="10" t="str">
        <f t="shared" si="8"/>
        <v>?utm_source=selecione&amp;utm_medium=selecione&amp;utm_campaign=_selecione_selecione_selecione_selecione_selecione_selecione&amp;utm_content=___&amp;utm_term=##IDPlay##_</v>
      </c>
      <c r="C240" s="10" t="s">
        <v>34</v>
      </c>
      <c r="D240" s="10" t="s">
        <v>34</v>
      </c>
      <c r="F240" s="10" t="s">
        <v>34</v>
      </c>
      <c r="G240" s="10" t="s">
        <v>34</v>
      </c>
      <c r="H240" s="10" t="s">
        <v>34</v>
      </c>
      <c r="I240" s="10" t="s">
        <v>34</v>
      </c>
      <c r="J240" s="10" t="s">
        <v>34</v>
      </c>
      <c r="K240" s="10" t="s">
        <v>34</v>
      </c>
      <c r="L240" s="10" t="s">
        <v>35</v>
      </c>
      <c r="M240" s="10" t="s">
        <v>36</v>
      </c>
      <c r="N240" s="10" t="s">
        <v>37</v>
      </c>
      <c r="O240" s="10" t="s">
        <v>38</v>
      </c>
      <c r="P240" s="10" t="s">
        <v>39</v>
      </c>
      <c r="Q240" s="10" t="s">
        <v>40</v>
      </c>
      <c r="R240" s="10" t="s">
        <v>41</v>
      </c>
      <c r="Y240" s="10" t="s">
        <v>382</v>
      </c>
      <c r="AA240" s="74" t="str">
        <f t="shared" si="3"/>
        <v>?</v>
      </c>
    </row>
    <row r="241" ht="14.25" customHeight="1">
      <c r="A241" s="10" t="str">
        <f t="shared" si="8"/>
        <v>?utm_source=selecione&amp;utm_medium=selecione&amp;utm_campaign=_selecione_selecione_selecione_selecione_selecione_selecione&amp;utm_content=___&amp;utm_term=##IDPlay##_</v>
      </c>
      <c r="C241" s="10" t="s">
        <v>34</v>
      </c>
      <c r="D241" s="10" t="s">
        <v>34</v>
      </c>
      <c r="F241" s="10" t="s">
        <v>34</v>
      </c>
      <c r="G241" s="10" t="s">
        <v>34</v>
      </c>
      <c r="H241" s="10" t="s">
        <v>34</v>
      </c>
      <c r="I241" s="10" t="s">
        <v>34</v>
      </c>
      <c r="J241" s="10" t="s">
        <v>34</v>
      </c>
      <c r="K241" s="10" t="s">
        <v>34</v>
      </c>
      <c r="L241" s="10" t="s">
        <v>35</v>
      </c>
      <c r="M241" s="10" t="s">
        <v>36</v>
      </c>
      <c r="N241" s="10" t="s">
        <v>37</v>
      </c>
      <c r="O241" s="10" t="s">
        <v>38</v>
      </c>
      <c r="P241" s="10" t="s">
        <v>39</v>
      </c>
      <c r="Q241" s="10" t="s">
        <v>40</v>
      </c>
      <c r="R241" s="10" t="s">
        <v>41</v>
      </c>
      <c r="Y241" s="10" t="s">
        <v>382</v>
      </c>
      <c r="AA241" s="74" t="str">
        <f t="shared" si="3"/>
        <v>?</v>
      </c>
    </row>
    <row r="242" ht="14.25" customHeight="1">
      <c r="A242" s="10" t="str">
        <f t="shared" si="8"/>
        <v>?utm_source=selecione&amp;utm_medium=selecione&amp;utm_campaign=_selecione_selecione_selecione_selecione_selecione_selecione&amp;utm_content=___&amp;utm_term=##IDPlay##_</v>
      </c>
      <c r="C242" s="10" t="s">
        <v>34</v>
      </c>
      <c r="D242" s="10" t="s">
        <v>34</v>
      </c>
      <c r="F242" s="10" t="s">
        <v>34</v>
      </c>
      <c r="G242" s="10" t="s">
        <v>34</v>
      </c>
      <c r="H242" s="10" t="s">
        <v>34</v>
      </c>
      <c r="I242" s="10" t="s">
        <v>34</v>
      </c>
      <c r="J242" s="10" t="s">
        <v>34</v>
      </c>
      <c r="K242" s="10" t="s">
        <v>34</v>
      </c>
      <c r="L242" s="10" t="s">
        <v>35</v>
      </c>
      <c r="M242" s="10" t="s">
        <v>36</v>
      </c>
      <c r="N242" s="10" t="s">
        <v>37</v>
      </c>
      <c r="O242" s="10" t="s">
        <v>38</v>
      </c>
      <c r="P242" s="10" t="s">
        <v>39</v>
      </c>
      <c r="Q242" s="10" t="s">
        <v>40</v>
      </c>
      <c r="R242" s="10" t="s">
        <v>41</v>
      </c>
      <c r="Y242" s="10" t="s">
        <v>382</v>
      </c>
      <c r="AA242" s="74" t="str">
        <f t="shared" si="3"/>
        <v>?</v>
      </c>
    </row>
    <row r="243" ht="14.25" customHeight="1">
      <c r="A243" s="10" t="str">
        <f t="shared" si="8"/>
        <v>?utm_source=selecione&amp;utm_medium=selecione&amp;utm_campaign=_selecione_selecione_selecione_selecione_selecione_selecione&amp;utm_content=___&amp;utm_term=##IDPlay##_</v>
      </c>
      <c r="C243" s="10" t="s">
        <v>34</v>
      </c>
      <c r="D243" s="10" t="s">
        <v>34</v>
      </c>
      <c r="F243" s="10" t="s">
        <v>34</v>
      </c>
      <c r="G243" s="10" t="s">
        <v>34</v>
      </c>
      <c r="H243" s="10" t="s">
        <v>34</v>
      </c>
      <c r="I243" s="10" t="s">
        <v>34</v>
      </c>
      <c r="J243" s="10" t="s">
        <v>34</v>
      </c>
      <c r="K243" s="10" t="s">
        <v>34</v>
      </c>
      <c r="L243" s="10" t="s">
        <v>35</v>
      </c>
      <c r="M243" s="10" t="s">
        <v>36</v>
      </c>
      <c r="N243" s="10" t="s">
        <v>37</v>
      </c>
      <c r="O243" s="10" t="s">
        <v>38</v>
      </c>
      <c r="P243" s="10" t="s">
        <v>39</v>
      </c>
      <c r="Q243" s="10" t="s">
        <v>40</v>
      </c>
      <c r="R243" s="10" t="s">
        <v>41</v>
      </c>
      <c r="Y243" s="10" t="s">
        <v>382</v>
      </c>
      <c r="AA243" s="74" t="str">
        <f t="shared" si="3"/>
        <v>?</v>
      </c>
    </row>
    <row r="244" ht="14.25" customHeight="1">
      <c r="A244" s="10" t="str">
        <f t="shared" si="8"/>
        <v>?utm_source=selecione&amp;utm_medium=selecione&amp;utm_campaign=_selecione_selecione_selecione_selecione_selecione_selecione&amp;utm_content=___&amp;utm_term=##IDPlay##_</v>
      </c>
      <c r="C244" s="10" t="s">
        <v>34</v>
      </c>
      <c r="D244" s="10" t="s">
        <v>34</v>
      </c>
      <c r="F244" s="10" t="s">
        <v>34</v>
      </c>
      <c r="G244" s="10" t="s">
        <v>34</v>
      </c>
      <c r="H244" s="10" t="s">
        <v>34</v>
      </c>
      <c r="I244" s="10" t="s">
        <v>34</v>
      </c>
      <c r="J244" s="10" t="s">
        <v>34</v>
      </c>
      <c r="K244" s="10" t="s">
        <v>34</v>
      </c>
      <c r="L244" s="10" t="s">
        <v>35</v>
      </c>
      <c r="M244" s="10" t="s">
        <v>36</v>
      </c>
      <c r="N244" s="10" t="s">
        <v>37</v>
      </c>
      <c r="O244" s="10" t="s">
        <v>38</v>
      </c>
      <c r="P244" s="10" t="s">
        <v>39</v>
      </c>
      <c r="Q244" s="10" t="s">
        <v>40</v>
      </c>
      <c r="R244" s="10" t="s">
        <v>41</v>
      </c>
      <c r="Y244" s="10" t="s">
        <v>382</v>
      </c>
      <c r="AA244" s="74" t="str">
        <f t="shared" si="3"/>
        <v>?</v>
      </c>
    </row>
    <row r="245" ht="14.25" customHeight="1">
      <c r="A245" s="10" t="str">
        <f t="shared" si="8"/>
        <v>?utm_source=selecione&amp;utm_medium=selecione&amp;utm_campaign=_selecione_selecione_selecione_selecione_selecione_selecione&amp;utm_content=___&amp;utm_term=##IDPlay##_</v>
      </c>
      <c r="C245" s="10" t="s">
        <v>34</v>
      </c>
      <c r="D245" s="10" t="s">
        <v>34</v>
      </c>
      <c r="F245" s="10" t="s">
        <v>34</v>
      </c>
      <c r="G245" s="10" t="s">
        <v>34</v>
      </c>
      <c r="H245" s="10" t="s">
        <v>34</v>
      </c>
      <c r="I245" s="10" t="s">
        <v>34</v>
      </c>
      <c r="J245" s="10" t="s">
        <v>34</v>
      </c>
      <c r="K245" s="10" t="s">
        <v>34</v>
      </c>
      <c r="L245" s="10" t="s">
        <v>35</v>
      </c>
      <c r="M245" s="10" t="s">
        <v>36</v>
      </c>
      <c r="N245" s="10" t="s">
        <v>37</v>
      </c>
      <c r="O245" s="10" t="s">
        <v>38</v>
      </c>
      <c r="P245" s="10" t="s">
        <v>39</v>
      </c>
      <c r="Q245" s="10" t="s">
        <v>40</v>
      </c>
      <c r="R245" s="10" t="s">
        <v>41</v>
      </c>
      <c r="Y245" s="10" t="s">
        <v>382</v>
      </c>
      <c r="AA245" s="74" t="str">
        <f t="shared" si="3"/>
        <v>?</v>
      </c>
    </row>
    <row r="246" ht="14.25" customHeight="1">
      <c r="A246" s="10" t="str">
        <f t="shared" si="8"/>
        <v>?utm_source=selecione&amp;utm_medium=selecione&amp;utm_campaign=_selecione_selecione_selecione_selecione_selecione_selecione&amp;utm_content=___&amp;utm_term=##IDPlay##_</v>
      </c>
      <c r="C246" s="10" t="s">
        <v>34</v>
      </c>
      <c r="D246" s="10" t="s">
        <v>34</v>
      </c>
      <c r="F246" s="10" t="s">
        <v>34</v>
      </c>
      <c r="G246" s="10" t="s">
        <v>34</v>
      </c>
      <c r="H246" s="10" t="s">
        <v>34</v>
      </c>
      <c r="I246" s="10" t="s">
        <v>34</v>
      </c>
      <c r="J246" s="10" t="s">
        <v>34</v>
      </c>
      <c r="K246" s="10" t="s">
        <v>34</v>
      </c>
      <c r="L246" s="10" t="s">
        <v>35</v>
      </c>
      <c r="M246" s="10" t="s">
        <v>36</v>
      </c>
      <c r="N246" s="10" t="s">
        <v>37</v>
      </c>
      <c r="O246" s="10" t="s">
        <v>38</v>
      </c>
      <c r="P246" s="10" t="s">
        <v>39</v>
      </c>
      <c r="Q246" s="10" t="s">
        <v>40</v>
      </c>
      <c r="R246" s="10" t="s">
        <v>41</v>
      </c>
      <c r="Y246" s="10" t="s">
        <v>382</v>
      </c>
      <c r="AA246" s="74" t="str">
        <f t="shared" si="3"/>
        <v>?</v>
      </c>
    </row>
    <row r="247" ht="14.25" customHeight="1">
      <c r="A247" s="10" t="str">
        <f t="shared" si="8"/>
        <v>?utm_source=selecione&amp;utm_medium=selecione&amp;utm_campaign=_selecione_selecione_selecione_selecione_selecione_selecione&amp;utm_content=___&amp;utm_term=##IDPlay##_</v>
      </c>
      <c r="C247" s="10" t="s">
        <v>34</v>
      </c>
      <c r="D247" s="10" t="s">
        <v>34</v>
      </c>
      <c r="F247" s="10" t="s">
        <v>34</v>
      </c>
      <c r="G247" s="10" t="s">
        <v>34</v>
      </c>
      <c r="H247" s="10" t="s">
        <v>34</v>
      </c>
      <c r="I247" s="10" t="s">
        <v>34</v>
      </c>
      <c r="J247" s="10" t="s">
        <v>34</v>
      </c>
      <c r="K247" s="10" t="s">
        <v>34</v>
      </c>
      <c r="L247" s="10" t="s">
        <v>35</v>
      </c>
      <c r="M247" s="10" t="s">
        <v>36</v>
      </c>
      <c r="N247" s="10" t="s">
        <v>37</v>
      </c>
      <c r="O247" s="10" t="s">
        <v>38</v>
      </c>
      <c r="P247" s="10" t="s">
        <v>39</v>
      </c>
      <c r="Q247" s="10" t="s">
        <v>40</v>
      </c>
      <c r="R247" s="10" t="s">
        <v>41</v>
      </c>
      <c r="Y247" s="10" t="s">
        <v>382</v>
      </c>
      <c r="AA247" s="74" t="str">
        <f t="shared" si="3"/>
        <v>?</v>
      </c>
    </row>
    <row r="248" ht="14.25" customHeight="1">
      <c r="A248" s="10" t="str">
        <f t="shared" si="8"/>
        <v>?utm_source=selecione&amp;utm_medium=selecione&amp;utm_campaign=_selecione_selecione_selecione_selecione_selecione_selecione&amp;utm_content=___&amp;utm_term=##IDPlay##_</v>
      </c>
      <c r="C248" s="10" t="s">
        <v>34</v>
      </c>
      <c r="D248" s="10" t="s">
        <v>34</v>
      </c>
      <c r="F248" s="10" t="s">
        <v>34</v>
      </c>
      <c r="G248" s="10" t="s">
        <v>34</v>
      </c>
      <c r="H248" s="10" t="s">
        <v>34</v>
      </c>
      <c r="I248" s="10" t="s">
        <v>34</v>
      </c>
      <c r="J248" s="10" t="s">
        <v>34</v>
      </c>
      <c r="K248" s="10" t="s">
        <v>34</v>
      </c>
      <c r="L248" s="10" t="s">
        <v>35</v>
      </c>
      <c r="M248" s="10" t="s">
        <v>36</v>
      </c>
      <c r="N248" s="10" t="s">
        <v>37</v>
      </c>
      <c r="O248" s="10" t="s">
        <v>38</v>
      </c>
      <c r="P248" s="10" t="s">
        <v>39</v>
      </c>
      <c r="Q248" s="10" t="s">
        <v>40</v>
      </c>
      <c r="R248" s="10" t="s">
        <v>41</v>
      </c>
      <c r="Y248" s="10" t="s">
        <v>382</v>
      </c>
      <c r="AA248" s="74" t="str">
        <f t="shared" si="3"/>
        <v>?</v>
      </c>
    </row>
    <row r="249" ht="14.25" customHeight="1">
      <c r="A249" s="10" t="str">
        <f t="shared" si="8"/>
        <v>?utm_source=selecione&amp;utm_medium=selecione&amp;utm_campaign=_selecione_selecione_selecione_selecione_selecione_selecione&amp;utm_content=___&amp;utm_term=##IDPlay##_</v>
      </c>
      <c r="C249" s="10" t="s">
        <v>34</v>
      </c>
      <c r="D249" s="10" t="s">
        <v>34</v>
      </c>
      <c r="F249" s="10" t="s">
        <v>34</v>
      </c>
      <c r="G249" s="10" t="s">
        <v>34</v>
      </c>
      <c r="H249" s="10" t="s">
        <v>34</v>
      </c>
      <c r="I249" s="10" t="s">
        <v>34</v>
      </c>
      <c r="J249" s="10" t="s">
        <v>34</v>
      </c>
      <c r="K249" s="10" t="s">
        <v>34</v>
      </c>
      <c r="L249" s="10" t="s">
        <v>35</v>
      </c>
      <c r="M249" s="10" t="s">
        <v>36</v>
      </c>
      <c r="N249" s="10" t="s">
        <v>37</v>
      </c>
      <c r="O249" s="10" t="s">
        <v>38</v>
      </c>
      <c r="P249" s="10" t="s">
        <v>39</v>
      </c>
      <c r="Q249" s="10" t="s">
        <v>40</v>
      </c>
      <c r="R249" s="10" t="s">
        <v>41</v>
      </c>
      <c r="Y249" s="10" t="s">
        <v>382</v>
      </c>
      <c r="AA249" s="74" t="str">
        <f t="shared" si="3"/>
        <v>?</v>
      </c>
    </row>
    <row r="250" ht="14.25" customHeight="1">
      <c r="A250" s="10" t="str">
        <f t="shared" si="8"/>
        <v>?utm_source=selecione&amp;utm_medium=selecione&amp;utm_campaign=_selecione_selecione_selecione_selecione_selecione_selecione&amp;utm_content=___&amp;utm_term=##IDPlay##_</v>
      </c>
      <c r="C250" s="10" t="s">
        <v>34</v>
      </c>
      <c r="D250" s="10" t="s">
        <v>34</v>
      </c>
      <c r="F250" s="10" t="s">
        <v>34</v>
      </c>
      <c r="G250" s="10" t="s">
        <v>34</v>
      </c>
      <c r="H250" s="10" t="s">
        <v>34</v>
      </c>
      <c r="I250" s="10" t="s">
        <v>34</v>
      </c>
      <c r="J250" s="10" t="s">
        <v>34</v>
      </c>
      <c r="K250" s="10" t="s">
        <v>34</v>
      </c>
      <c r="L250" s="10" t="s">
        <v>35</v>
      </c>
      <c r="M250" s="10" t="s">
        <v>36</v>
      </c>
      <c r="N250" s="10" t="s">
        <v>37</v>
      </c>
      <c r="O250" s="10" t="s">
        <v>38</v>
      </c>
      <c r="P250" s="10" t="s">
        <v>39</v>
      </c>
      <c r="Q250" s="10" t="s">
        <v>40</v>
      </c>
      <c r="R250" s="10" t="s">
        <v>41</v>
      </c>
      <c r="Y250" s="10" t="s">
        <v>382</v>
      </c>
      <c r="AA250" s="74" t="str">
        <f t="shared" si="3"/>
        <v>?</v>
      </c>
    </row>
    <row r="251" ht="14.25" customHeight="1">
      <c r="A251" s="10" t="str">
        <f t="shared" si="8"/>
        <v>?utm_source=selecione&amp;utm_medium=selecione&amp;utm_campaign=_selecione_selecione_selecione_selecione_selecione_selecione&amp;utm_content=___&amp;utm_term=##IDPlay##_</v>
      </c>
      <c r="C251" s="10" t="s">
        <v>34</v>
      </c>
      <c r="D251" s="10" t="s">
        <v>34</v>
      </c>
      <c r="F251" s="10" t="s">
        <v>34</v>
      </c>
      <c r="G251" s="10" t="s">
        <v>34</v>
      </c>
      <c r="H251" s="10" t="s">
        <v>34</v>
      </c>
      <c r="I251" s="10" t="s">
        <v>34</v>
      </c>
      <c r="J251" s="10" t="s">
        <v>34</v>
      </c>
      <c r="K251" s="10" t="s">
        <v>34</v>
      </c>
      <c r="L251" s="10" t="s">
        <v>35</v>
      </c>
      <c r="M251" s="10" t="s">
        <v>36</v>
      </c>
      <c r="N251" s="10" t="s">
        <v>37</v>
      </c>
      <c r="O251" s="10" t="s">
        <v>38</v>
      </c>
      <c r="P251" s="10" t="s">
        <v>39</v>
      </c>
      <c r="Q251" s="10" t="s">
        <v>40</v>
      </c>
      <c r="R251" s="10" t="s">
        <v>41</v>
      </c>
      <c r="Y251" s="10" t="s">
        <v>382</v>
      </c>
      <c r="AA251" s="74" t="str">
        <f t="shared" si="3"/>
        <v>?</v>
      </c>
    </row>
    <row r="252" ht="14.25" customHeight="1">
      <c r="A252" s="10" t="str">
        <f t="shared" si="8"/>
        <v>?utm_source=selecione&amp;utm_medium=selecione&amp;utm_campaign=_selecione_selecione_selecione_selecione_selecione_selecione&amp;utm_content=___&amp;utm_term=##IDPlay##_</v>
      </c>
      <c r="C252" s="10" t="s">
        <v>34</v>
      </c>
      <c r="D252" s="10" t="s">
        <v>34</v>
      </c>
      <c r="F252" s="10" t="s">
        <v>34</v>
      </c>
      <c r="G252" s="10" t="s">
        <v>34</v>
      </c>
      <c r="H252" s="10" t="s">
        <v>34</v>
      </c>
      <c r="I252" s="10" t="s">
        <v>34</v>
      </c>
      <c r="J252" s="10" t="s">
        <v>34</v>
      </c>
      <c r="K252" s="10" t="s">
        <v>34</v>
      </c>
      <c r="L252" s="10" t="s">
        <v>35</v>
      </c>
      <c r="M252" s="10" t="s">
        <v>36</v>
      </c>
      <c r="N252" s="10" t="s">
        <v>37</v>
      </c>
      <c r="O252" s="10" t="s">
        <v>38</v>
      </c>
      <c r="P252" s="10" t="s">
        <v>39</v>
      </c>
      <c r="Q252" s="10" t="s">
        <v>40</v>
      </c>
      <c r="R252" s="10" t="s">
        <v>41</v>
      </c>
      <c r="Y252" s="10" t="s">
        <v>382</v>
      </c>
      <c r="AA252" s="74" t="str">
        <f t="shared" si="3"/>
        <v>?</v>
      </c>
    </row>
    <row r="253" ht="14.25" customHeight="1">
      <c r="A253" s="10" t="str">
        <f t="shared" si="8"/>
        <v>?utm_source=selecione&amp;utm_medium=selecione&amp;utm_campaign=_selecione_selecione_selecione_selecione_selecione_selecione&amp;utm_content=___&amp;utm_term=##IDPlay##_</v>
      </c>
      <c r="C253" s="10" t="s">
        <v>34</v>
      </c>
      <c r="D253" s="10" t="s">
        <v>34</v>
      </c>
      <c r="F253" s="10" t="s">
        <v>34</v>
      </c>
      <c r="G253" s="10" t="s">
        <v>34</v>
      </c>
      <c r="H253" s="10" t="s">
        <v>34</v>
      </c>
      <c r="I253" s="10" t="s">
        <v>34</v>
      </c>
      <c r="J253" s="10" t="s">
        <v>34</v>
      </c>
      <c r="K253" s="10" t="s">
        <v>34</v>
      </c>
      <c r="L253" s="10" t="s">
        <v>35</v>
      </c>
      <c r="M253" s="10" t="s">
        <v>36</v>
      </c>
      <c r="N253" s="10" t="s">
        <v>37</v>
      </c>
      <c r="O253" s="10" t="s">
        <v>38</v>
      </c>
      <c r="P253" s="10" t="s">
        <v>39</v>
      </c>
      <c r="Q253" s="10" t="s">
        <v>40</v>
      </c>
      <c r="R253" s="10" t="s">
        <v>41</v>
      </c>
      <c r="Y253" s="10" t="s">
        <v>382</v>
      </c>
      <c r="AA253" s="74" t="str">
        <f t="shared" si="3"/>
        <v>?</v>
      </c>
    </row>
    <row r="254" ht="14.25" customHeight="1">
      <c r="A254" s="10" t="str">
        <f t="shared" si="8"/>
        <v>?utm_source=selecione&amp;utm_medium=selecione&amp;utm_campaign=_selecione_selecione_selecione_selecione_selecione_selecione&amp;utm_content=___&amp;utm_term=##IDPlay##_</v>
      </c>
      <c r="C254" s="10" t="s">
        <v>34</v>
      </c>
      <c r="D254" s="10" t="s">
        <v>34</v>
      </c>
      <c r="F254" s="10" t="s">
        <v>34</v>
      </c>
      <c r="G254" s="10" t="s">
        <v>34</v>
      </c>
      <c r="H254" s="10" t="s">
        <v>34</v>
      </c>
      <c r="I254" s="10" t="s">
        <v>34</v>
      </c>
      <c r="J254" s="10" t="s">
        <v>34</v>
      </c>
      <c r="K254" s="10" t="s">
        <v>34</v>
      </c>
      <c r="L254" s="10" t="s">
        <v>35</v>
      </c>
      <c r="M254" s="10" t="s">
        <v>36</v>
      </c>
      <c r="N254" s="10" t="s">
        <v>37</v>
      </c>
      <c r="O254" s="10" t="s">
        <v>38</v>
      </c>
      <c r="P254" s="10" t="s">
        <v>39</v>
      </c>
      <c r="Q254" s="10" t="s">
        <v>40</v>
      </c>
      <c r="R254" s="10" t="s">
        <v>41</v>
      </c>
      <c r="Y254" s="10" t="s">
        <v>382</v>
      </c>
      <c r="AA254" s="74" t="str">
        <f t="shared" si="3"/>
        <v>?</v>
      </c>
    </row>
    <row r="255" ht="14.25" customHeight="1">
      <c r="A255" s="10" t="str">
        <f t="shared" si="8"/>
        <v>?utm_source=selecione&amp;utm_medium=selecione&amp;utm_campaign=_selecione_selecione_selecione_selecione_selecione_selecione&amp;utm_content=___&amp;utm_term=##IDPlay##_</v>
      </c>
      <c r="C255" s="10" t="s">
        <v>34</v>
      </c>
      <c r="D255" s="10" t="s">
        <v>34</v>
      </c>
      <c r="F255" s="10" t="s">
        <v>34</v>
      </c>
      <c r="G255" s="10" t="s">
        <v>34</v>
      </c>
      <c r="H255" s="10" t="s">
        <v>34</v>
      </c>
      <c r="I255" s="10" t="s">
        <v>34</v>
      </c>
      <c r="J255" s="10" t="s">
        <v>34</v>
      </c>
      <c r="K255" s="10" t="s">
        <v>34</v>
      </c>
      <c r="L255" s="10" t="s">
        <v>35</v>
      </c>
      <c r="M255" s="10" t="s">
        <v>36</v>
      </c>
      <c r="N255" s="10" t="s">
        <v>37</v>
      </c>
      <c r="O255" s="10" t="s">
        <v>38</v>
      </c>
      <c r="P255" s="10" t="s">
        <v>39</v>
      </c>
      <c r="Q255" s="10" t="s">
        <v>40</v>
      </c>
      <c r="R255" s="10" t="s">
        <v>41</v>
      </c>
      <c r="Y255" s="10" t="s">
        <v>382</v>
      </c>
      <c r="AA255" s="74" t="str">
        <f t="shared" si="3"/>
        <v>?</v>
      </c>
    </row>
    <row r="256" ht="14.25" customHeight="1">
      <c r="A256" s="10" t="str">
        <f t="shared" si="8"/>
        <v>?utm_source=selecione&amp;utm_medium=selecione&amp;utm_campaign=_selecione_selecione_selecione_selecione_selecione_selecione&amp;utm_content=___&amp;utm_term=##IDPlay##_</v>
      </c>
      <c r="C256" s="10" t="s">
        <v>34</v>
      </c>
      <c r="D256" s="10" t="s">
        <v>34</v>
      </c>
      <c r="F256" s="10" t="s">
        <v>34</v>
      </c>
      <c r="G256" s="10" t="s">
        <v>34</v>
      </c>
      <c r="H256" s="10" t="s">
        <v>34</v>
      </c>
      <c r="I256" s="10" t="s">
        <v>34</v>
      </c>
      <c r="J256" s="10" t="s">
        <v>34</v>
      </c>
      <c r="K256" s="10" t="s">
        <v>34</v>
      </c>
      <c r="L256" s="10" t="s">
        <v>35</v>
      </c>
      <c r="M256" s="10" t="s">
        <v>36</v>
      </c>
      <c r="N256" s="10" t="s">
        <v>37</v>
      </c>
      <c r="O256" s="10" t="s">
        <v>38</v>
      </c>
      <c r="P256" s="10" t="s">
        <v>39</v>
      </c>
      <c r="Q256" s="10" t="s">
        <v>40</v>
      </c>
      <c r="R256" s="10" t="s">
        <v>41</v>
      </c>
      <c r="Y256" s="10" t="s">
        <v>382</v>
      </c>
      <c r="AA256" s="74" t="str">
        <f t="shared" si="3"/>
        <v>?</v>
      </c>
    </row>
    <row r="257" ht="14.25" customHeight="1">
      <c r="A257" s="10" t="str">
        <f t="shared" si="8"/>
        <v>?utm_source=selecione&amp;utm_medium=selecione&amp;utm_campaign=_selecione_selecione_selecione_selecione_selecione_selecione&amp;utm_content=___&amp;utm_term=##IDPlay##_</v>
      </c>
      <c r="C257" s="10" t="s">
        <v>34</v>
      </c>
      <c r="D257" s="10" t="s">
        <v>34</v>
      </c>
      <c r="F257" s="10" t="s">
        <v>34</v>
      </c>
      <c r="G257" s="10" t="s">
        <v>34</v>
      </c>
      <c r="H257" s="10" t="s">
        <v>34</v>
      </c>
      <c r="I257" s="10" t="s">
        <v>34</v>
      </c>
      <c r="J257" s="10" t="s">
        <v>34</v>
      </c>
      <c r="K257" s="10" t="s">
        <v>34</v>
      </c>
      <c r="L257" s="10" t="s">
        <v>35</v>
      </c>
      <c r="M257" s="10" t="s">
        <v>36</v>
      </c>
      <c r="N257" s="10" t="s">
        <v>37</v>
      </c>
      <c r="O257" s="10" t="s">
        <v>38</v>
      </c>
      <c r="P257" s="10" t="s">
        <v>39</v>
      </c>
      <c r="Q257" s="10" t="s">
        <v>40</v>
      </c>
      <c r="R257" s="10" t="s">
        <v>41</v>
      </c>
      <c r="Y257" s="10" t="s">
        <v>382</v>
      </c>
      <c r="AA257" s="74" t="str">
        <f t="shared" si="3"/>
        <v>?</v>
      </c>
    </row>
    <row r="258" ht="14.25" customHeight="1">
      <c r="A258" s="10" t="str">
        <f t="shared" si="8"/>
        <v>?utm_source=selecione&amp;utm_medium=selecione&amp;utm_campaign=_selecione_selecione_selecione_selecione_selecione_selecione&amp;utm_content=___&amp;utm_term=##IDPlay##_</v>
      </c>
      <c r="C258" s="10" t="s">
        <v>34</v>
      </c>
      <c r="D258" s="10" t="s">
        <v>34</v>
      </c>
      <c r="F258" s="10" t="s">
        <v>34</v>
      </c>
      <c r="G258" s="10" t="s">
        <v>34</v>
      </c>
      <c r="H258" s="10" t="s">
        <v>34</v>
      </c>
      <c r="I258" s="10" t="s">
        <v>34</v>
      </c>
      <c r="J258" s="10" t="s">
        <v>34</v>
      </c>
      <c r="K258" s="10" t="s">
        <v>34</v>
      </c>
      <c r="L258" s="10" t="s">
        <v>35</v>
      </c>
      <c r="M258" s="10" t="s">
        <v>36</v>
      </c>
      <c r="N258" s="10" t="s">
        <v>37</v>
      </c>
      <c r="O258" s="10" t="s">
        <v>38</v>
      </c>
      <c r="P258" s="10" t="s">
        <v>39</v>
      </c>
      <c r="Q258" s="10" t="s">
        <v>40</v>
      </c>
      <c r="R258" s="10" t="s">
        <v>41</v>
      </c>
      <c r="Y258" s="10" t="s">
        <v>382</v>
      </c>
      <c r="AA258" s="74" t="str">
        <f t="shared" si="3"/>
        <v>?</v>
      </c>
    </row>
    <row r="259" ht="14.25" customHeight="1">
      <c r="A259" s="10" t="str">
        <f t="shared" si="8"/>
        <v>?utm_source=selecione&amp;utm_medium=selecione&amp;utm_campaign=_selecione_selecione_selecione_selecione_selecione_selecione&amp;utm_content=___&amp;utm_term=##IDPlay##_</v>
      </c>
      <c r="C259" s="10" t="s">
        <v>34</v>
      </c>
      <c r="D259" s="10" t="s">
        <v>34</v>
      </c>
      <c r="F259" s="10" t="s">
        <v>34</v>
      </c>
      <c r="G259" s="10" t="s">
        <v>34</v>
      </c>
      <c r="H259" s="10" t="s">
        <v>34</v>
      </c>
      <c r="I259" s="10" t="s">
        <v>34</v>
      </c>
      <c r="J259" s="10" t="s">
        <v>34</v>
      </c>
      <c r="K259" s="10" t="s">
        <v>34</v>
      </c>
      <c r="L259" s="10" t="s">
        <v>35</v>
      </c>
      <c r="M259" s="10" t="s">
        <v>36</v>
      </c>
      <c r="N259" s="10" t="s">
        <v>37</v>
      </c>
      <c r="O259" s="10" t="s">
        <v>38</v>
      </c>
      <c r="P259" s="10" t="s">
        <v>39</v>
      </c>
      <c r="Q259" s="10" t="s">
        <v>40</v>
      </c>
      <c r="R259" s="10" t="s">
        <v>41</v>
      </c>
      <c r="Y259" s="10" t="s">
        <v>382</v>
      </c>
      <c r="AA259" s="74" t="str">
        <f t="shared" si="3"/>
        <v>?</v>
      </c>
    </row>
    <row r="260" ht="14.25" customHeight="1">
      <c r="A260" s="10" t="str">
        <f t="shared" si="8"/>
        <v>?utm_source=selecione&amp;utm_medium=selecione&amp;utm_campaign=_selecione_selecione_selecione_selecione_selecione_selecione&amp;utm_content=___&amp;utm_term=##IDPlay##_</v>
      </c>
      <c r="C260" s="10" t="s">
        <v>34</v>
      </c>
      <c r="D260" s="10" t="s">
        <v>34</v>
      </c>
      <c r="F260" s="10" t="s">
        <v>34</v>
      </c>
      <c r="G260" s="10" t="s">
        <v>34</v>
      </c>
      <c r="H260" s="10" t="s">
        <v>34</v>
      </c>
      <c r="I260" s="10" t="s">
        <v>34</v>
      </c>
      <c r="J260" s="10" t="s">
        <v>34</v>
      </c>
      <c r="K260" s="10" t="s">
        <v>34</v>
      </c>
      <c r="L260" s="10" t="s">
        <v>35</v>
      </c>
      <c r="M260" s="10" t="s">
        <v>36</v>
      </c>
      <c r="N260" s="10" t="s">
        <v>37</v>
      </c>
      <c r="O260" s="10" t="s">
        <v>38</v>
      </c>
      <c r="P260" s="10" t="s">
        <v>39</v>
      </c>
      <c r="Q260" s="10" t="s">
        <v>40</v>
      </c>
      <c r="R260" s="10" t="s">
        <v>41</v>
      </c>
      <c r="Y260" s="10" t="s">
        <v>382</v>
      </c>
      <c r="AA260" s="74" t="str">
        <f t="shared" si="3"/>
        <v>?</v>
      </c>
    </row>
    <row r="261" ht="14.25" customHeight="1">
      <c r="A261" s="10" t="str">
        <f t="shared" si="8"/>
        <v>?utm_source=selecione&amp;utm_medium=selecione&amp;utm_campaign=_selecione_selecione_selecione_selecione_selecione_selecione&amp;utm_content=___&amp;utm_term=##IDPlay##_</v>
      </c>
      <c r="C261" s="10" t="s">
        <v>34</v>
      </c>
      <c r="D261" s="10" t="s">
        <v>34</v>
      </c>
      <c r="F261" s="10" t="s">
        <v>34</v>
      </c>
      <c r="G261" s="10" t="s">
        <v>34</v>
      </c>
      <c r="H261" s="10" t="s">
        <v>34</v>
      </c>
      <c r="I261" s="10" t="s">
        <v>34</v>
      </c>
      <c r="J261" s="10" t="s">
        <v>34</v>
      </c>
      <c r="K261" s="10" t="s">
        <v>34</v>
      </c>
      <c r="L261" s="10" t="s">
        <v>35</v>
      </c>
      <c r="M261" s="10" t="s">
        <v>36</v>
      </c>
      <c r="N261" s="10" t="s">
        <v>37</v>
      </c>
      <c r="O261" s="10" t="s">
        <v>38</v>
      </c>
      <c r="P261" s="10" t="s">
        <v>39</v>
      </c>
      <c r="Q261" s="10" t="s">
        <v>40</v>
      </c>
      <c r="R261" s="10" t="s">
        <v>41</v>
      </c>
      <c r="Y261" s="10" t="s">
        <v>382</v>
      </c>
      <c r="AA261" s="74" t="str">
        <f t="shared" si="3"/>
        <v>?</v>
      </c>
    </row>
    <row r="262" ht="14.25" customHeight="1">
      <c r="A262" s="10" t="str">
        <f t="shared" si="8"/>
        <v>?utm_source=selecione&amp;utm_medium=selecione&amp;utm_campaign=_selecione_selecione_selecione_selecione_selecione_selecione&amp;utm_content=___&amp;utm_term=##IDPlay##_</v>
      </c>
      <c r="C262" s="10" t="s">
        <v>34</v>
      </c>
      <c r="D262" s="10" t="s">
        <v>34</v>
      </c>
      <c r="F262" s="10" t="s">
        <v>34</v>
      </c>
      <c r="G262" s="10" t="s">
        <v>34</v>
      </c>
      <c r="H262" s="10" t="s">
        <v>34</v>
      </c>
      <c r="I262" s="10" t="s">
        <v>34</v>
      </c>
      <c r="J262" s="10" t="s">
        <v>34</v>
      </c>
      <c r="K262" s="10" t="s">
        <v>34</v>
      </c>
      <c r="L262" s="10" t="s">
        <v>35</v>
      </c>
      <c r="M262" s="10" t="s">
        <v>36</v>
      </c>
      <c r="N262" s="10" t="s">
        <v>37</v>
      </c>
      <c r="O262" s="10" t="s">
        <v>38</v>
      </c>
      <c r="P262" s="10" t="s">
        <v>39</v>
      </c>
      <c r="Q262" s="10" t="s">
        <v>40</v>
      </c>
      <c r="R262" s="10" t="s">
        <v>41</v>
      </c>
      <c r="Y262" s="10" t="s">
        <v>382</v>
      </c>
      <c r="AA262" s="74" t="str">
        <f t="shared" si="3"/>
        <v>?</v>
      </c>
    </row>
    <row r="263" ht="14.25" customHeight="1">
      <c r="A263" s="10" t="str">
        <f t="shared" si="8"/>
        <v>?utm_source=selecione&amp;utm_medium=selecione&amp;utm_campaign=_selecione_selecione_selecione_selecione_selecione_selecione&amp;utm_content=___&amp;utm_term=##IDPlay##_</v>
      </c>
      <c r="C263" s="10" t="s">
        <v>34</v>
      </c>
      <c r="D263" s="10" t="s">
        <v>34</v>
      </c>
      <c r="F263" s="10" t="s">
        <v>34</v>
      </c>
      <c r="G263" s="10" t="s">
        <v>34</v>
      </c>
      <c r="H263" s="10" t="s">
        <v>34</v>
      </c>
      <c r="I263" s="10" t="s">
        <v>34</v>
      </c>
      <c r="J263" s="10" t="s">
        <v>34</v>
      </c>
      <c r="K263" s="10" t="s">
        <v>34</v>
      </c>
      <c r="L263" s="10" t="s">
        <v>35</v>
      </c>
      <c r="M263" s="10" t="s">
        <v>36</v>
      </c>
      <c r="N263" s="10" t="s">
        <v>37</v>
      </c>
      <c r="O263" s="10" t="s">
        <v>38</v>
      </c>
      <c r="P263" s="10" t="s">
        <v>39</v>
      </c>
      <c r="Q263" s="10" t="s">
        <v>40</v>
      </c>
      <c r="R263" s="10" t="s">
        <v>41</v>
      </c>
      <c r="Y263" s="10" t="s">
        <v>382</v>
      </c>
      <c r="AA263" s="74" t="str">
        <f t="shared" si="3"/>
        <v>?</v>
      </c>
    </row>
    <row r="264" ht="14.25" customHeight="1">
      <c r="A264" s="10" t="str">
        <f t="shared" si="8"/>
        <v>?utm_source=selecione&amp;utm_medium=selecione&amp;utm_campaign=_selecione_selecione_selecione_selecione_selecione_selecione&amp;utm_content=___&amp;utm_term=##IDPlay##_</v>
      </c>
      <c r="C264" s="10" t="s">
        <v>34</v>
      </c>
      <c r="D264" s="10" t="s">
        <v>34</v>
      </c>
      <c r="F264" s="10" t="s">
        <v>34</v>
      </c>
      <c r="G264" s="10" t="s">
        <v>34</v>
      </c>
      <c r="H264" s="10" t="s">
        <v>34</v>
      </c>
      <c r="I264" s="10" t="s">
        <v>34</v>
      </c>
      <c r="J264" s="10" t="s">
        <v>34</v>
      </c>
      <c r="K264" s="10" t="s">
        <v>34</v>
      </c>
      <c r="L264" s="10" t="s">
        <v>35</v>
      </c>
      <c r="M264" s="10" t="s">
        <v>36</v>
      </c>
      <c r="N264" s="10" t="s">
        <v>37</v>
      </c>
      <c r="O264" s="10" t="s">
        <v>38</v>
      </c>
      <c r="P264" s="10" t="s">
        <v>39</v>
      </c>
      <c r="Q264" s="10" t="s">
        <v>40</v>
      </c>
      <c r="R264" s="10" t="s">
        <v>41</v>
      </c>
      <c r="Y264" s="10" t="s">
        <v>382</v>
      </c>
      <c r="AA264" s="74" t="str">
        <f t="shared" si="3"/>
        <v>?</v>
      </c>
    </row>
    <row r="265" ht="14.25" customHeight="1">
      <c r="A265" s="10" t="str">
        <f t="shared" si="8"/>
        <v>?utm_source=selecione&amp;utm_medium=selecione&amp;utm_campaign=_selecione_selecione_selecione_selecione_selecione_selecione&amp;utm_content=___&amp;utm_term=##IDPlay##_</v>
      </c>
      <c r="C265" s="10" t="s">
        <v>34</v>
      </c>
      <c r="D265" s="10" t="s">
        <v>34</v>
      </c>
      <c r="F265" s="10" t="s">
        <v>34</v>
      </c>
      <c r="G265" s="10" t="s">
        <v>34</v>
      </c>
      <c r="H265" s="10" t="s">
        <v>34</v>
      </c>
      <c r="I265" s="10" t="s">
        <v>34</v>
      </c>
      <c r="J265" s="10" t="s">
        <v>34</v>
      </c>
      <c r="K265" s="10" t="s">
        <v>34</v>
      </c>
      <c r="L265" s="10" t="s">
        <v>35</v>
      </c>
      <c r="M265" s="10" t="s">
        <v>36</v>
      </c>
      <c r="N265" s="10" t="s">
        <v>37</v>
      </c>
      <c r="O265" s="10" t="s">
        <v>38</v>
      </c>
      <c r="P265" s="10" t="s">
        <v>39</v>
      </c>
      <c r="Q265" s="10" t="s">
        <v>40</v>
      </c>
      <c r="R265" s="10" t="s">
        <v>41</v>
      </c>
      <c r="Y265" s="10" t="s">
        <v>382</v>
      </c>
      <c r="AA265" s="74" t="str">
        <f t="shared" si="3"/>
        <v>?</v>
      </c>
    </row>
    <row r="266" ht="14.25" customHeight="1">
      <c r="A266" s="10" t="str">
        <f t="shared" si="8"/>
        <v>?utm_source=selecione&amp;utm_medium=selecione&amp;utm_campaign=_selecione_selecione_selecione_selecione_selecione_selecione&amp;utm_content=___&amp;utm_term=##IDPlay##_</v>
      </c>
      <c r="C266" s="10" t="s">
        <v>34</v>
      </c>
      <c r="D266" s="10" t="s">
        <v>34</v>
      </c>
      <c r="F266" s="10" t="s">
        <v>34</v>
      </c>
      <c r="G266" s="10" t="s">
        <v>34</v>
      </c>
      <c r="H266" s="10" t="s">
        <v>34</v>
      </c>
      <c r="I266" s="10" t="s">
        <v>34</v>
      </c>
      <c r="J266" s="10" t="s">
        <v>34</v>
      </c>
      <c r="K266" s="10" t="s">
        <v>34</v>
      </c>
      <c r="L266" s="10" t="s">
        <v>35</v>
      </c>
      <c r="M266" s="10" t="s">
        <v>36</v>
      </c>
      <c r="N266" s="10" t="s">
        <v>37</v>
      </c>
      <c r="O266" s="10" t="s">
        <v>38</v>
      </c>
      <c r="P266" s="10" t="s">
        <v>39</v>
      </c>
      <c r="Q266" s="10" t="s">
        <v>40</v>
      </c>
      <c r="R266" s="10" t="s">
        <v>41</v>
      </c>
      <c r="Y266" s="10" t="s">
        <v>382</v>
      </c>
      <c r="AA266" s="74" t="str">
        <f t="shared" si="3"/>
        <v>?</v>
      </c>
    </row>
    <row r="267" ht="14.25" customHeight="1">
      <c r="A267" s="10" t="str">
        <f t="shared" si="8"/>
        <v>?utm_source=selecione&amp;utm_medium=selecione&amp;utm_campaign=_selecione_selecione_selecione_selecione_selecione_selecione&amp;utm_content=___&amp;utm_term=##IDPlay##_</v>
      </c>
      <c r="C267" s="10" t="s">
        <v>34</v>
      </c>
      <c r="D267" s="10" t="s">
        <v>34</v>
      </c>
      <c r="F267" s="10" t="s">
        <v>34</v>
      </c>
      <c r="G267" s="10" t="s">
        <v>34</v>
      </c>
      <c r="H267" s="10" t="s">
        <v>34</v>
      </c>
      <c r="I267" s="10" t="s">
        <v>34</v>
      </c>
      <c r="J267" s="10" t="s">
        <v>34</v>
      </c>
      <c r="K267" s="10" t="s">
        <v>34</v>
      </c>
      <c r="L267" s="10" t="s">
        <v>35</v>
      </c>
      <c r="M267" s="10" t="s">
        <v>36</v>
      </c>
      <c r="N267" s="10" t="s">
        <v>37</v>
      </c>
      <c r="O267" s="10" t="s">
        <v>38</v>
      </c>
      <c r="P267" s="10" t="s">
        <v>39</v>
      </c>
      <c r="Q267" s="10" t="s">
        <v>40</v>
      </c>
      <c r="R267" s="10" t="s">
        <v>41</v>
      </c>
      <c r="Y267" s="10" t="s">
        <v>382</v>
      </c>
      <c r="AA267" s="74" t="str">
        <f t="shared" si="3"/>
        <v>?</v>
      </c>
    </row>
    <row r="268" ht="14.25" customHeight="1">
      <c r="A268" s="10" t="str">
        <f t="shared" si="8"/>
        <v>?utm_source=selecione&amp;utm_medium=selecione&amp;utm_campaign=_selecione_selecione_selecione_selecione_selecione_selecione&amp;utm_content=___&amp;utm_term=##IDPlay##_</v>
      </c>
      <c r="C268" s="10" t="s">
        <v>34</v>
      </c>
      <c r="D268" s="10" t="s">
        <v>34</v>
      </c>
      <c r="F268" s="10" t="s">
        <v>34</v>
      </c>
      <c r="G268" s="10" t="s">
        <v>34</v>
      </c>
      <c r="H268" s="10" t="s">
        <v>34</v>
      </c>
      <c r="I268" s="10" t="s">
        <v>34</v>
      </c>
      <c r="J268" s="10" t="s">
        <v>34</v>
      </c>
      <c r="K268" s="10" t="s">
        <v>34</v>
      </c>
      <c r="L268" s="10" t="s">
        <v>35</v>
      </c>
      <c r="M268" s="10" t="s">
        <v>36</v>
      </c>
      <c r="N268" s="10" t="s">
        <v>37</v>
      </c>
      <c r="O268" s="10" t="s">
        <v>38</v>
      </c>
      <c r="P268" s="10" t="s">
        <v>39</v>
      </c>
      <c r="Q268" s="10" t="s">
        <v>40</v>
      </c>
      <c r="R268" s="10" t="s">
        <v>41</v>
      </c>
      <c r="Y268" s="10" t="s">
        <v>382</v>
      </c>
      <c r="AA268" s="74" t="str">
        <f t="shared" si="3"/>
        <v>?</v>
      </c>
    </row>
    <row r="269" ht="14.25" customHeight="1">
      <c r="A269" s="10" t="str">
        <f t="shared" si="8"/>
        <v>?utm_source=selecione&amp;utm_medium=selecione&amp;utm_campaign=_selecione_selecione_selecione_selecione_selecione_selecione&amp;utm_content=___&amp;utm_term=##IDPlay##_</v>
      </c>
      <c r="C269" s="10" t="s">
        <v>34</v>
      </c>
      <c r="D269" s="10" t="s">
        <v>34</v>
      </c>
      <c r="F269" s="10" t="s">
        <v>34</v>
      </c>
      <c r="G269" s="10" t="s">
        <v>34</v>
      </c>
      <c r="H269" s="10" t="s">
        <v>34</v>
      </c>
      <c r="I269" s="10" t="s">
        <v>34</v>
      </c>
      <c r="J269" s="10" t="s">
        <v>34</v>
      </c>
      <c r="K269" s="10" t="s">
        <v>34</v>
      </c>
      <c r="L269" s="10" t="s">
        <v>35</v>
      </c>
      <c r="M269" s="10" t="s">
        <v>36</v>
      </c>
      <c r="N269" s="10" t="s">
        <v>37</v>
      </c>
      <c r="O269" s="10" t="s">
        <v>38</v>
      </c>
      <c r="P269" s="10" t="s">
        <v>39</v>
      </c>
      <c r="Q269" s="10" t="s">
        <v>40</v>
      </c>
      <c r="R269" s="10" t="s">
        <v>41</v>
      </c>
      <c r="Y269" s="10" t="s">
        <v>382</v>
      </c>
      <c r="AA269" s="74" t="str">
        <f t="shared" si="3"/>
        <v>?</v>
      </c>
    </row>
    <row r="270" ht="14.25" customHeight="1">
      <c r="A270" s="10" t="str">
        <f t="shared" si="8"/>
        <v>?utm_source=selecione&amp;utm_medium=selecione&amp;utm_campaign=_selecione_selecione_selecione_selecione_selecione_selecione&amp;utm_content=___&amp;utm_term=##IDPlay##_</v>
      </c>
      <c r="C270" s="10" t="s">
        <v>34</v>
      </c>
      <c r="D270" s="10" t="s">
        <v>34</v>
      </c>
      <c r="F270" s="10" t="s">
        <v>34</v>
      </c>
      <c r="G270" s="10" t="s">
        <v>34</v>
      </c>
      <c r="H270" s="10" t="s">
        <v>34</v>
      </c>
      <c r="I270" s="10" t="s">
        <v>34</v>
      </c>
      <c r="J270" s="10" t="s">
        <v>34</v>
      </c>
      <c r="K270" s="10" t="s">
        <v>34</v>
      </c>
      <c r="L270" s="10" t="s">
        <v>35</v>
      </c>
      <c r="M270" s="10" t="s">
        <v>36</v>
      </c>
      <c r="N270" s="10" t="s">
        <v>37</v>
      </c>
      <c r="O270" s="10" t="s">
        <v>38</v>
      </c>
      <c r="P270" s="10" t="s">
        <v>39</v>
      </c>
      <c r="Q270" s="10" t="s">
        <v>40</v>
      </c>
      <c r="R270" s="10" t="s">
        <v>41</v>
      </c>
      <c r="Y270" s="10" t="s">
        <v>382</v>
      </c>
      <c r="AA270" s="74" t="str">
        <f t="shared" si="3"/>
        <v>?</v>
      </c>
    </row>
    <row r="271" ht="14.25" customHeight="1">
      <c r="A271" s="10" t="str">
        <f t="shared" si="8"/>
        <v>?utm_source=selecione&amp;utm_medium=selecione&amp;utm_campaign=_selecione_selecione_selecione_selecione_selecione_selecione&amp;utm_content=___&amp;utm_term=##IDPlay##_</v>
      </c>
      <c r="C271" s="10" t="s">
        <v>34</v>
      </c>
      <c r="D271" s="10" t="s">
        <v>34</v>
      </c>
      <c r="F271" s="10" t="s">
        <v>34</v>
      </c>
      <c r="G271" s="10" t="s">
        <v>34</v>
      </c>
      <c r="H271" s="10" t="s">
        <v>34</v>
      </c>
      <c r="I271" s="10" t="s">
        <v>34</v>
      </c>
      <c r="J271" s="10" t="s">
        <v>34</v>
      </c>
      <c r="K271" s="10" t="s">
        <v>34</v>
      </c>
      <c r="L271" s="10" t="s">
        <v>35</v>
      </c>
      <c r="M271" s="10" t="s">
        <v>36</v>
      </c>
      <c r="N271" s="10" t="s">
        <v>37</v>
      </c>
      <c r="O271" s="10" t="s">
        <v>38</v>
      </c>
      <c r="P271" s="10" t="s">
        <v>39</v>
      </c>
      <c r="Q271" s="10" t="s">
        <v>40</v>
      </c>
      <c r="R271" s="10" t="s">
        <v>41</v>
      </c>
      <c r="Y271" s="10" t="s">
        <v>382</v>
      </c>
      <c r="AA271" s="74" t="str">
        <f t="shared" si="3"/>
        <v>?</v>
      </c>
    </row>
    <row r="272" ht="14.25" customHeight="1">
      <c r="A272" s="10" t="str">
        <f t="shared" si="8"/>
        <v>?utm_source=selecione&amp;utm_medium=selecione&amp;utm_campaign=_selecione_selecione_selecione_selecione_selecione_selecione&amp;utm_content=___&amp;utm_term=##IDPlay##_</v>
      </c>
      <c r="C272" s="10" t="s">
        <v>34</v>
      </c>
      <c r="D272" s="10" t="s">
        <v>34</v>
      </c>
      <c r="F272" s="10" t="s">
        <v>34</v>
      </c>
      <c r="G272" s="10" t="s">
        <v>34</v>
      </c>
      <c r="H272" s="10" t="s">
        <v>34</v>
      </c>
      <c r="I272" s="10" t="s">
        <v>34</v>
      </c>
      <c r="J272" s="10" t="s">
        <v>34</v>
      </c>
      <c r="K272" s="10" t="s">
        <v>34</v>
      </c>
      <c r="L272" s="10" t="s">
        <v>35</v>
      </c>
      <c r="M272" s="10" t="s">
        <v>36</v>
      </c>
      <c r="N272" s="10" t="s">
        <v>37</v>
      </c>
      <c r="O272" s="10" t="s">
        <v>38</v>
      </c>
      <c r="P272" s="10" t="s">
        <v>39</v>
      </c>
      <c r="Q272" s="10" t="s">
        <v>40</v>
      </c>
      <c r="R272" s="10" t="s">
        <v>41</v>
      </c>
      <c r="Y272" s="10" t="s">
        <v>382</v>
      </c>
      <c r="AA272" s="74" t="str">
        <f t="shared" si="3"/>
        <v>?</v>
      </c>
    </row>
    <row r="273" ht="14.25" customHeight="1">
      <c r="A273" s="10" t="str">
        <f t="shared" si="8"/>
        <v>?utm_source=selecione&amp;utm_medium=selecione&amp;utm_campaign=_selecione_selecione_selecione_selecione_selecione_selecione&amp;utm_content=___&amp;utm_term=##IDPlay##_</v>
      </c>
      <c r="C273" s="10" t="s">
        <v>34</v>
      </c>
      <c r="D273" s="10" t="s">
        <v>34</v>
      </c>
      <c r="F273" s="10" t="s">
        <v>34</v>
      </c>
      <c r="G273" s="10" t="s">
        <v>34</v>
      </c>
      <c r="H273" s="10" t="s">
        <v>34</v>
      </c>
      <c r="I273" s="10" t="s">
        <v>34</v>
      </c>
      <c r="J273" s="10" t="s">
        <v>34</v>
      </c>
      <c r="K273" s="10" t="s">
        <v>34</v>
      </c>
      <c r="L273" s="10" t="s">
        <v>35</v>
      </c>
      <c r="M273" s="10" t="s">
        <v>36</v>
      </c>
      <c r="N273" s="10" t="s">
        <v>37</v>
      </c>
      <c r="O273" s="10" t="s">
        <v>38</v>
      </c>
      <c r="P273" s="10" t="s">
        <v>39</v>
      </c>
      <c r="Q273" s="10" t="s">
        <v>40</v>
      </c>
      <c r="R273" s="10" t="s">
        <v>41</v>
      </c>
      <c r="Y273" s="10" t="s">
        <v>382</v>
      </c>
      <c r="AA273" s="74" t="str">
        <f t="shared" si="3"/>
        <v>?</v>
      </c>
    </row>
    <row r="274" ht="14.25" customHeight="1">
      <c r="A274" s="10" t="str">
        <f t="shared" si="8"/>
        <v>?utm_source=selecione&amp;utm_medium=selecione&amp;utm_campaign=_selecione_selecione_selecione_selecione_selecione_selecione&amp;utm_content=___&amp;utm_term=##IDPlay##_</v>
      </c>
      <c r="C274" s="10" t="s">
        <v>34</v>
      </c>
      <c r="D274" s="10" t="s">
        <v>34</v>
      </c>
      <c r="F274" s="10" t="s">
        <v>34</v>
      </c>
      <c r="G274" s="10" t="s">
        <v>34</v>
      </c>
      <c r="H274" s="10" t="s">
        <v>34</v>
      </c>
      <c r="I274" s="10" t="s">
        <v>34</v>
      </c>
      <c r="J274" s="10" t="s">
        <v>34</v>
      </c>
      <c r="K274" s="10" t="s">
        <v>34</v>
      </c>
      <c r="L274" s="10" t="s">
        <v>35</v>
      </c>
      <c r="M274" s="10" t="s">
        <v>36</v>
      </c>
      <c r="N274" s="10" t="s">
        <v>37</v>
      </c>
      <c r="O274" s="10" t="s">
        <v>38</v>
      </c>
      <c r="P274" s="10" t="s">
        <v>39</v>
      </c>
      <c r="Q274" s="10" t="s">
        <v>40</v>
      </c>
      <c r="R274" s="10" t="s">
        <v>41</v>
      </c>
      <c r="Y274" s="10" t="s">
        <v>382</v>
      </c>
      <c r="AA274" s="74" t="str">
        <f t="shared" si="3"/>
        <v>?</v>
      </c>
    </row>
    <row r="275" ht="14.25" customHeight="1">
      <c r="A275" s="10" t="str">
        <f t="shared" si="8"/>
        <v>?utm_source=selecione&amp;utm_medium=selecione&amp;utm_campaign=_selecione_selecione_selecione_selecione_selecione_selecione&amp;utm_content=___&amp;utm_term=##IDPlay##_</v>
      </c>
      <c r="C275" s="10" t="s">
        <v>34</v>
      </c>
      <c r="D275" s="10" t="s">
        <v>34</v>
      </c>
      <c r="F275" s="10" t="s">
        <v>34</v>
      </c>
      <c r="G275" s="10" t="s">
        <v>34</v>
      </c>
      <c r="H275" s="10" t="s">
        <v>34</v>
      </c>
      <c r="I275" s="10" t="s">
        <v>34</v>
      </c>
      <c r="J275" s="10" t="s">
        <v>34</v>
      </c>
      <c r="K275" s="10" t="s">
        <v>34</v>
      </c>
      <c r="L275" s="10" t="s">
        <v>35</v>
      </c>
      <c r="M275" s="10" t="s">
        <v>36</v>
      </c>
      <c r="N275" s="10" t="s">
        <v>37</v>
      </c>
      <c r="O275" s="10" t="s">
        <v>38</v>
      </c>
      <c r="P275" s="10" t="s">
        <v>39</v>
      </c>
      <c r="Q275" s="10" t="s">
        <v>40</v>
      </c>
      <c r="R275" s="10" t="s">
        <v>41</v>
      </c>
      <c r="Y275" s="10" t="s">
        <v>382</v>
      </c>
      <c r="AA275" s="74" t="str">
        <f t="shared" si="3"/>
        <v>?</v>
      </c>
    </row>
    <row r="276" ht="14.25" customHeight="1">
      <c r="A276" s="10" t="str">
        <f t="shared" si="8"/>
        <v>?utm_source=selecione&amp;utm_medium=selecione&amp;utm_campaign=_selecione_selecione_selecione_selecione_selecione_selecione&amp;utm_content=___&amp;utm_term=##IDPlay##_</v>
      </c>
      <c r="C276" s="10" t="s">
        <v>34</v>
      </c>
      <c r="D276" s="10" t="s">
        <v>34</v>
      </c>
      <c r="F276" s="10" t="s">
        <v>34</v>
      </c>
      <c r="G276" s="10" t="s">
        <v>34</v>
      </c>
      <c r="H276" s="10" t="s">
        <v>34</v>
      </c>
      <c r="I276" s="10" t="s">
        <v>34</v>
      </c>
      <c r="J276" s="10" t="s">
        <v>34</v>
      </c>
      <c r="K276" s="10" t="s">
        <v>34</v>
      </c>
      <c r="L276" s="10" t="s">
        <v>35</v>
      </c>
      <c r="M276" s="10" t="s">
        <v>36</v>
      </c>
      <c r="N276" s="10" t="s">
        <v>37</v>
      </c>
      <c r="O276" s="10" t="s">
        <v>38</v>
      </c>
      <c r="P276" s="10" t="s">
        <v>39</v>
      </c>
      <c r="Q276" s="10" t="s">
        <v>40</v>
      </c>
      <c r="R276" s="10" t="s">
        <v>41</v>
      </c>
      <c r="Y276" s="10" t="s">
        <v>382</v>
      </c>
      <c r="AA276" s="74" t="str">
        <f t="shared" si="3"/>
        <v>?</v>
      </c>
    </row>
    <row r="277" ht="14.25" customHeight="1">
      <c r="A277" s="10" t="str">
        <f t="shared" si="8"/>
        <v>?utm_source=selecione&amp;utm_medium=selecione&amp;utm_campaign=_selecione_selecione_selecione_selecione_selecione_selecione&amp;utm_content=___&amp;utm_term=##IDPlay##_</v>
      </c>
      <c r="C277" s="10" t="s">
        <v>34</v>
      </c>
      <c r="D277" s="10" t="s">
        <v>34</v>
      </c>
      <c r="F277" s="10" t="s">
        <v>34</v>
      </c>
      <c r="G277" s="10" t="s">
        <v>34</v>
      </c>
      <c r="H277" s="10" t="s">
        <v>34</v>
      </c>
      <c r="I277" s="10" t="s">
        <v>34</v>
      </c>
      <c r="J277" s="10" t="s">
        <v>34</v>
      </c>
      <c r="K277" s="10" t="s">
        <v>34</v>
      </c>
      <c r="L277" s="10" t="s">
        <v>35</v>
      </c>
      <c r="M277" s="10" t="s">
        <v>36</v>
      </c>
      <c r="N277" s="10" t="s">
        <v>37</v>
      </c>
      <c r="O277" s="10" t="s">
        <v>38</v>
      </c>
      <c r="P277" s="10" t="s">
        <v>39</v>
      </c>
      <c r="Q277" s="10" t="s">
        <v>40</v>
      </c>
      <c r="R277" s="10" t="s">
        <v>41</v>
      </c>
      <c r="Y277" s="10" t="s">
        <v>382</v>
      </c>
      <c r="AA277" s="74" t="str">
        <f t="shared" si="3"/>
        <v>?</v>
      </c>
    </row>
    <row r="278" ht="14.25" customHeight="1">
      <c r="A278" s="10" t="str">
        <f t="shared" si="8"/>
        <v>?utm_source=selecione&amp;utm_medium=selecione&amp;utm_campaign=_selecione_selecione_selecione_selecione_selecione_selecione&amp;utm_content=___&amp;utm_term=##IDPlay##_</v>
      </c>
      <c r="C278" s="10" t="s">
        <v>34</v>
      </c>
      <c r="D278" s="10" t="s">
        <v>34</v>
      </c>
      <c r="F278" s="10" t="s">
        <v>34</v>
      </c>
      <c r="G278" s="10" t="s">
        <v>34</v>
      </c>
      <c r="H278" s="10" t="s">
        <v>34</v>
      </c>
      <c r="I278" s="10" t="s">
        <v>34</v>
      </c>
      <c r="J278" s="10" t="s">
        <v>34</v>
      </c>
      <c r="K278" s="10" t="s">
        <v>34</v>
      </c>
      <c r="L278" s="10" t="s">
        <v>35</v>
      </c>
      <c r="M278" s="10" t="s">
        <v>36</v>
      </c>
      <c r="N278" s="10" t="s">
        <v>37</v>
      </c>
      <c r="O278" s="10" t="s">
        <v>38</v>
      </c>
      <c r="P278" s="10" t="s">
        <v>39</v>
      </c>
      <c r="Q278" s="10" t="s">
        <v>40</v>
      </c>
      <c r="R278" s="10" t="s">
        <v>41</v>
      </c>
      <c r="Y278" s="10" t="s">
        <v>382</v>
      </c>
      <c r="AA278" s="74" t="str">
        <f t="shared" si="3"/>
        <v>?</v>
      </c>
    </row>
    <row r="279" ht="14.25" customHeight="1">
      <c r="A279" s="10" t="str">
        <f t="shared" si="8"/>
        <v>?utm_source=selecione&amp;utm_medium=selecione&amp;utm_campaign=_selecione_selecione_selecione_selecione_selecione_selecione&amp;utm_content=___&amp;utm_term=##IDPlay##_</v>
      </c>
      <c r="C279" s="10" t="s">
        <v>34</v>
      </c>
      <c r="D279" s="10" t="s">
        <v>34</v>
      </c>
      <c r="F279" s="10" t="s">
        <v>34</v>
      </c>
      <c r="G279" s="10" t="s">
        <v>34</v>
      </c>
      <c r="H279" s="10" t="s">
        <v>34</v>
      </c>
      <c r="I279" s="10" t="s">
        <v>34</v>
      </c>
      <c r="J279" s="10" t="s">
        <v>34</v>
      </c>
      <c r="K279" s="10" t="s">
        <v>34</v>
      </c>
      <c r="L279" s="10" t="s">
        <v>35</v>
      </c>
      <c r="M279" s="10" t="s">
        <v>36</v>
      </c>
      <c r="N279" s="10" t="s">
        <v>37</v>
      </c>
      <c r="O279" s="10" t="s">
        <v>38</v>
      </c>
      <c r="P279" s="10" t="s">
        <v>39</v>
      </c>
      <c r="Q279" s="10" t="s">
        <v>40</v>
      </c>
      <c r="R279" s="10" t="s">
        <v>41</v>
      </c>
      <c r="Y279" s="10" t="s">
        <v>382</v>
      </c>
      <c r="AA279" s="74" t="str">
        <f t="shared" si="3"/>
        <v>?</v>
      </c>
    </row>
    <row r="280" ht="14.25" customHeight="1">
      <c r="A280" s="10" t="str">
        <f t="shared" si="8"/>
        <v>?utm_source=selecione&amp;utm_medium=selecione&amp;utm_campaign=_selecione_selecione_selecione_selecione_selecione_selecione&amp;utm_content=___&amp;utm_term=##IDPlay##_</v>
      </c>
      <c r="C280" s="10" t="s">
        <v>34</v>
      </c>
      <c r="D280" s="10" t="s">
        <v>34</v>
      </c>
      <c r="F280" s="10" t="s">
        <v>34</v>
      </c>
      <c r="G280" s="10" t="s">
        <v>34</v>
      </c>
      <c r="H280" s="10" t="s">
        <v>34</v>
      </c>
      <c r="I280" s="10" t="s">
        <v>34</v>
      </c>
      <c r="J280" s="10" t="s">
        <v>34</v>
      </c>
      <c r="K280" s="10" t="s">
        <v>34</v>
      </c>
      <c r="L280" s="10" t="s">
        <v>35</v>
      </c>
      <c r="M280" s="10" t="s">
        <v>36</v>
      </c>
      <c r="N280" s="10" t="s">
        <v>37</v>
      </c>
      <c r="O280" s="10" t="s">
        <v>38</v>
      </c>
      <c r="P280" s="10" t="s">
        <v>39</v>
      </c>
      <c r="Q280" s="10" t="s">
        <v>40</v>
      </c>
      <c r="R280" s="10" t="s">
        <v>41</v>
      </c>
      <c r="Y280" s="10" t="s">
        <v>382</v>
      </c>
      <c r="AA280" s="74" t="str">
        <f t="shared" si="3"/>
        <v>?</v>
      </c>
    </row>
    <row r="281" ht="14.25" customHeight="1">
      <c r="A281" s="10" t="str">
        <f t="shared" si="8"/>
        <v>?utm_source=selecione&amp;utm_medium=selecione&amp;utm_campaign=_selecione_selecione_selecione_selecione_selecione_selecione&amp;utm_content=___&amp;utm_term=##IDPlay##_</v>
      </c>
      <c r="C281" s="10" t="s">
        <v>34</v>
      </c>
      <c r="D281" s="10" t="s">
        <v>34</v>
      </c>
      <c r="F281" s="10" t="s">
        <v>34</v>
      </c>
      <c r="G281" s="10" t="s">
        <v>34</v>
      </c>
      <c r="H281" s="10" t="s">
        <v>34</v>
      </c>
      <c r="I281" s="10" t="s">
        <v>34</v>
      </c>
      <c r="J281" s="10" t="s">
        <v>34</v>
      </c>
      <c r="K281" s="10" t="s">
        <v>34</v>
      </c>
      <c r="L281" s="10" t="s">
        <v>35</v>
      </c>
      <c r="M281" s="10" t="s">
        <v>36</v>
      </c>
      <c r="N281" s="10" t="s">
        <v>37</v>
      </c>
      <c r="O281" s="10" t="s">
        <v>38</v>
      </c>
      <c r="P281" s="10" t="s">
        <v>39</v>
      </c>
      <c r="Q281" s="10" t="s">
        <v>40</v>
      </c>
      <c r="R281" s="10" t="s">
        <v>41</v>
      </c>
      <c r="Y281" s="10" t="s">
        <v>382</v>
      </c>
      <c r="AA281" s="74" t="str">
        <f t="shared" si="3"/>
        <v>?</v>
      </c>
    </row>
    <row r="282" ht="14.25" customHeight="1">
      <c r="A282" s="10" t="str">
        <f t="shared" si="8"/>
        <v>?utm_source=selecione&amp;utm_medium=selecione&amp;utm_campaign=_selecione_selecione_selecione_selecione_selecione_selecione&amp;utm_content=___&amp;utm_term=##IDPlay##_</v>
      </c>
      <c r="C282" s="10" t="s">
        <v>34</v>
      </c>
      <c r="D282" s="10" t="s">
        <v>34</v>
      </c>
      <c r="F282" s="10" t="s">
        <v>34</v>
      </c>
      <c r="G282" s="10" t="s">
        <v>34</v>
      </c>
      <c r="H282" s="10" t="s">
        <v>34</v>
      </c>
      <c r="I282" s="10" t="s">
        <v>34</v>
      </c>
      <c r="J282" s="10" t="s">
        <v>34</v>
      </c>
      <c r="K282" s="10" t="s">
        <v>34</v>
      </c>
      <c r="L282" s="10" t="s">
        <v>35</v>
      </c>
      <c r="M282" s="10" t="s">
        <v>36</v>
      </c>
      <c r="N282" s="10" t="s">
        <v>37</v>
      </c>
      <c r="O282" s="10" t="s">
        <v>38</v>
      </c>
      <c r="P282" s="10" t="s">
        <v>39</v>
      </c>
      <c r="Q282" s="10" t="s">
        <v>40</v>
      </c>
      <c r="R282" s="10" t="s">
        <v>41</v>
      </c>
      <c r="Y282" s="10" t="s">
        <v>382</v>
      </c>
      <c r="AA282" s="74" t="str">
        <f t="shared" si="3"/>
        <v>?</v>
      </c>
    </row>
    <row r="283" ht="14.25" customHeight="1">
      <c r="A283" s="10" t="str">
        <f t="shared" si="8"/>
        <v>?utm_source=selecione&amp;utm_medium=selecione&amp;utm_campaign=_selecione_selecione_selecione_selecione_selecione_selecione&amp;utm_content=___&amp;utm_term=##IDPlay##_</v>
      </c>
      <c r="C283" s="10" t="s">
        <v>34</v>
      </c>
      <c r="D283" s="10" t="s">
        <v>34</v>
      </c>
      <c r="F283" s="10" t="s">
        <v>34</v>
      </c>
      <c r="G283" s="10" t="s">
        <v>34</v>
      </c>
      <c r="H283" s="10" t="s">
        <v>34</v>
      </c>
      <c r="I283" s="10" t="s">
        <v>34</v>
      </c>
      <c r="J283" s="10" t="s">
        <v>34</v>
      </c>
      <c r="K283" s="10" t="s">
        <v>34</v>
      </c>
      <c r="L283" s="10" t="s">
        <v>35</v>
      </c>
      <c r="M283" s="10" t="s">
        <v>36</v>
      </c>
      <c r="N283" s="10" t="s">
        <v>37</v>
      </c>
      <c r="O283" s="10" t="s">
        <v>38</v>
      </c>
      <c r="P283" s="10" t="s">
        <v>39</v>
      </c>
      <c r="Q283" s="10" t="s">
        <v>40</v>
      </c>
      <c r="R283" s="10" t="s">
        <v>41</v>
      </c>
      <c r="Y283" s="10" t="s">
        <v>382</v>
      </c>
      <c r="AA283" s="74" t="str">
        <f t="shared" si="3"/>
        <v>?</v>
      </c>
    </row>
    <row r="284" ht="14.25" customHeight="1">
      <c r="A284" s="10" t="str">
        <f t="shared" si="8"/>
        <v>?utm_source=selecione&amp;utm_medium=selecione&amp;utm_campaign=_selecione_selecione_selecione_selecione_selecione_selecione&amp;utm_content=___&amp;utm_term=##IDPlay##_</v>
      </c>
      <c r="C284" s="10" t="s">
        <v>34</v>
      </c>
      <c r="D284" s="10" t="s">
        <v>34</v>
      </c>
      <c r="F284" s="10" t="s">
        <v>34</v>
      </c>
      <c r="G284" s="10" t="s">
        <v>34</v>
      </c>
      <c r="H284" s="10" t="s">
        <v>34</v>
      </c>
      <c r="I284" s="10" t="s">
        <v>34</v>
      </c>
      <c r="J284" s="10" t="s">
        <v>34</v>
      </c>
      <c r="K284" s="10" t="s">
        <v>34</v>
      </c>
      <c r="L284" s="10" t="s">
        <v>35</v>
      </c>
      <c r="M284" s="10" t="s">
        <v>36</v>
      </c>
      <c r="N284" s="10" t="s">
        <v>37</v>
      </c>
      <c r="O284" s="10" t="s">
        <v>38</v>
      </c>
      <c r="P284" s="10" t="s">
        <v>39</v>
      </c>
      <c r="Q284" s="10" t="s">
        <v>40</v>
      </c>
      <c r="R284" s="10" t="s">
        <v>41</v>
      </c>
      <c r="Y284" s="10" t="s">
        <v>382</v>
      </c>
      <c r="AA284" s="74" t="str">
        <f t="shared" si="3"/>
        <v>?</v>
      </c>
    </row>
    <row r="285" ht="14.25" customHeight="1">
      <c r="A285" s="10" t="str">
        <f t="shared" si="8"/>
        <v>?utm_source=selecione&amp;utm_medium=selecione&amp;utm_campaign=_selecione_selecione_selecione_selecione_selecione_selecione&amp;utm_content=___&amp;utm_term=##IDPlay##_</v>
      </c>
      <c r="C285" s="10" t="s">
        <v>34</v>
      </c>
      <c r="D285" s="10" t="s">
        <v>34</v>
      </c>
      <c r="F285" s="10" t="s">
        <v>34</v>
      </c>
      <c r="G285" s="10" t="s">
        <v>34</v>
      </c>
      <c r="H285" s="10" t="s">
        <v>34</v>
      </c>
      <c r="I285" s="10" t="s">
        <v>34</v>
      </c>
      <c r="J285" s="10" t="s">
        <v>34</v>
      </c>
      <c r="K285" s="10" t="s">
        <v>34</v>
      </c>
      <c r="L285" s="10" t="s">
        <v>35</v>
      </c>
      <c r="M285" s="10" t="s">
        <v>36</v>
      </c>
      <c r="N285" s="10" t="s">
        <v>37</v>
      </c>
      <c r="O285" s="10" t="s">
        <v>38</v>
      </c>
      <c r="P285" s="10" t="s">
        <v>39</v>
      </c>
      <c r="Q285" s="10" t="s">
        <v>40</v>
      </c>
      <c r="R285" s="10" t="s">
        <v>41</v>
      </c>
      <c r="Y285" s="10" t="s">
        <v>382</v>
      </c>
      <c r="AA285" s="74" t="str">
        <f t="shared" si="3"/>
        <v>?</v>
      </c>
    </row>
    <row r="286" ht="14.25" customHeight="1">
      <c r="A286" s="10" t="str">
        <f t="shared" si="8"/>
        <v>?utm_source=selecione&amp;utm_medium=selecione&amp;utm_campaign=_selecione_selecione_selecione_selecione_selecione_selecione&amp;utm_content=___&amp;utm_term=##IDPlay##_</v>
      </c>
      <c r="C286" s="10" t="s">
        <v>34</v>
      </c>
      <c r="D286" s="10" t="s">
        <v>34</v>
      </c>
      <c r="F286" s="10" t="s">
        <v>34</v>
      </c>
      <c r="G286" s="10" t="s">
        <v>34</v>
      </c>
      <c r="H286" s="10" t="s">
        <v>34</v>
      </c>
      <c r="I286" s="10" t="s">
        <v>34</v>
      </c>
      <c r="J286" s="10" t="s">
        <v>34</v>
      </c>
      <c r="K286" s="10" t="s">
        <v>34</v>
      </c>
      <c r="L286" s="10" t="s">
        <v>35</v>
      </c>
      <c r="M286" s="10" t="s">
        <v>36</v>
      </c>
      <c r="N286" s="10" t="s">
        <v>37</v>
      </c>
      <c r="O286" s="10" t="s">
        <v>38</v>
      </c>
      <c r="P286" s="10" t="s">
        <v>39</v>
      </c>
      <c r="Q286" s="10" t="s">
        <v>40</v>
      </c>
      <c r="R286" s="10" t="s">
        <v>41</v>
      </c>
      <c r="Y286" s="10" t="s">
        <v>382</v>
      </c>
      <c r="AA286" s="74" t="str">
        <f t="shared" si="3"/>
        <v>?</v>
      </c>
    </row>
    <row r="287" ht="14.25" customHeight="1">
      <c r="A287" s="10" t="str">
        <f t="shared" si="8"/>
        <v>?utm_source=selecione&amp;utm_medium=selecione&amp;utm_campaign=_selecione_selecione_selecione_selecione_selecione_selecione&amp;utm_content=___&amp;utm_term=##IDPlay##_</v>
      </c>
      <c r="C287" s="10" t="s">
        <v>34</v>
      </c>
      <c r="D287" s="10" t="s">
        <v>34</v>
      </c>
      <c r="F287" s="10" t="s">
        <v>34</v>
      </c>
      <c r="G287" s="10" t="s">
        <v>34</v>
      </c>
      <c r="H287" s="10" t="s">
        <v>34</v>
      </c>
      <c r="I287" s="10" t="s">
        <v>34</v>
      </c>
      <c r="J287" s="10" t="s">
        <v>34</v>
      </c>
      <c r="K287" s="10" t="s">
        <v>34</v>
      </c>
      <c r="L287" s="10" t="s">
        <v>35</v>
      </c>
      <c r="M287" s="10" t="s">
        <v>36</v>
      </c>
      <c r="N287" s="10" t="s">
        <v>37</v>
      </c>
      <c r="O287" s="10" t="s">
        <v>38</v>
      </c>
      <c r="P287" s="10" t="s">
        <v>39</v>
      </c>
      <c r="Q287" s="10" t="s">
        <v>40</v>
      </c>
      <c r="R287" s="10" t="s">
        <v>41</v>
      </c>
      <c r="Y287" s="10" t="s">
        <v>382</v>
      </c>
      <c r="AA287" s="74" t="str">
        <f t="shared" si="3"/>
        <v>?</v>
      </c>
    </row>
    <row r="288" ht="14.25" customHeight="1">
      <c r="A288" s="10" t="str">
        <f t="shared" si="8"/>
        <v>?utm_source=selecione&amp;utm_medium=selecione&amp;utm_campaign=_selecione_selecione_selecione_selecione_selecione_selecione&amp;utm_content=___&amp;utm_term=##IDPlay##_</v>
      </c>
      <c r="C288" s="10" t="s">
        <v>34</v>
      </c>
      <c r="D288" s="10" t="s">
        <v>34</v>
      </c>
      <c r="F288" s="10" t="s">
        <v>34</v>
      </c>
      <c r="G288" s="10" t="s">
        <v>34</v>
      </c>
      <c r="H288" s="10" t="s">
        <v>34</v>
      </c>
      <c r="I288" s="10" t="s">
        <v>34</v>
      </c>
      <c r="J288" s="10" t="s">
        <v>34</v>
      </c>
      <c r="K288" s="10" t="s">
        <v>34</v>
      </c>
      <c r="L288" s="10" t="s">
        <v>35</v>
      </c>
      <c r="M288" s="10" t="s">
        <v>36</v>
      </c>
      <c r="N288" s="10" t="s">
        <v>37</v>
      </c>
      <c r="O288" s="10" t="s">
        <v>38</v>
      </c>
      <c r="P288" s="10" t="s">
        <v>39</v>
      </c>
      <c r="Q288" s="10" t="s">
        <v>40</v>
      </c>
      <c r="R288" s="10" t="s">
        <v>41</v>
      </c>
      <c r="Y288" s="10" t="s">
        <v>382</v>
      </c>
      <c r="AA288" s="74" t="str">
        <f t="shared" si="3"/>
        <v>?</v>
      </c>
    </row>
    <row r="289" ht="14.25" customHeight="1">
      <c r="A289" s="10" t="str">
        <f t="shared" si="8"/>
        <v>?utm_source=selecione&amp;utm_medium=selecione&amp;utm_campaign=_selecione_selecione_selecione_selecione_selecione_selecione&amp;utm_content=___&amp;utm_term=##IDPlay##_</v>
      </c>
      <c r="C289" s="10" t="s">
        <v>34</v>
      </c>
      <c r="D289" s="10" t="s">
        <v>34</v>
      </c>
      <c r="F289" s="10" t="s">
        <v>34</v>
      </c>
      <c r="G289" s="10" t="s">
        <v>34</v>
      </c>
      <c r="H289" s="10" t="s">
        <v>34</v>
      </c>
      <c r="I289" s="10" t="s">
        <v>34</v>
      </c>
      <c r="J289" s="10" t="s">
        <v>34</v>
      </c>
      <c r="K289" s="10" t="s">
        <v>34</v>
      </c>
      <c r="L289" s="10" t="s">
        <v>35</v>
      </c>
      <c r="M289" s="10" t="s">
        <v>36</v>
      </c>
      <c r="N289" s="10" t="s">
        <v>37</v>
      </c>
      <c r="O289" s="10" t="s">
        <v>38</v>
      </c>
      <c r="P289" s="10" t="s">
        <v>39</v>
      </c>
      <c r="Q289" s="10" t="s">
        <v>40</v>
      </c>
      <c r="R289" s="10" t="s">
        <v>41</v>
      </c>
      <c r="Y289" s="10" t="s">
        <v>382</v>
      </c>
      <c r="AA289" s="74" t="str">
        <f t="shared" si="3"/>
        <v>?</v>
      </c>
    </row>
    <row r="290" ht="14.25" customHeight="1">
      <c r="A290" s="10" t="str">
        <f t="shared" si="8"/>
        <v>?utm_source=selecione&amp;utm_medium=selecione&amp;utm_campaign=_selecione_selecione_selecione_selecione_selecione_selecione&amp;utm_content=___&amp;utm_term=##IDPlay##_</v>
      </c>
      <c r="C290" s="10" t="s">
        <v>34</v>
      </c>
      <c r="D290" s="10" t="s">
        <v>34</v>
      </c>
      <c r="F290" s="10" t="s">
        <v>34</v>
      </c>
      <c r="G290" s="10" t="s">
        <v>34</v>
      </c>
      <c r="H290" s="10" t="s">
        <v>34</v>
      </c>
      <c r="I290" s="10" t="s">
        <v>34</v>
      </c>
      <c r="J290" s="10" t="s">
        <v>34</v>
      </c>
      <c r="K290" s="10" t="s">
        <v>34</v>
      </c>
      <c r="L290" s="10" t="s">
        <v>35</v>
      </c>
      <c r="M290" s="10" t="s">
        <v>36</v>
      </c>
      <c r="N290" s="10" t="s">
        <v>37</v>
      </c>
      <c r="O290" s="10" t="s">
        <v>38</v>
      </c>
      <c r="P290" s="10" t="s">
        <v>39</v>
      </c>
      <c r="Q290" s="10" t="s">
        <v>40</v>
      </c>
      <c r="R290" s="10" t="s">
        <v>41</v>
      </c>
      <c r="Y290" s="10" t="s">
        <v>382</v>
      </c>
      <c r="AA290" s="74" t="str">
        <f t="shared" si="3"/>
        <v>?</v>
      </c>
    </row>
    <row r="291" ht="14.25" customHeight="1">
      <c r="A291" s="10" t="str">
        <f t="shared" si="8"/>
        <v>?utm_source=selecione&amp;utm_medium=selecione&amp;utm_campaign=_selecione_selecione_selecione_selecione_selecione_selecione&amp;utm_content=___&amp;utm_term=##IDPlay##_</v>
      </c>
      <c r="C291" s="10" t="s">
        <v>34</v>
      </c>
      <c r="D291" s="10" t="s">
        <v>34</v>
      </c>
      <c r="F291" s="10" t="s">
        <v>34</v>
      </c>
      <c r="G291" s="10" t="s">
        <v>34</v>
      </c>
      <c r="H291" s="10" t="s">
        <v>34</v>
      </c>
      <c r="I291" s="10" t="s">
        <v>34</v>
      </c>
      <c r="J291" s="10" t="s">
        <v>34</v>
      </c>
      <c r="K291" s="10" t="s">
        <v>34</v>
      </c>
      <c r="L291" s="10" t="s">
        <v>35</v>
      </c>
      <c r="M291" s="10" t="s">
        <v>36</v>
      </c>
      <c r="N291" s="10" t="s">
        <v>37</v>
      </c>
      <c r="O291" s="10" t="s">
        <v>38</v>
      </c>
      <c r="P291" s="10" t="s">
        <v>39</v>
      </c>
      <c r="Q291" s="10" t="s">
        <v>40</v>
      </c>
      <c r="R291" s="10" t="s">
        <v>41</v>
      </c>
      <c r="Y291" s="10" t="s">
        <v>382</v>
      </c>
      <c r="AA291" s="74" t="str">
        <f t="shared" si="3"/>
        <v>?</v>
      </c>
    </row>
    <row r="292" ht="14.25" customHeight="1">
      <c r="A292" s="10" t="str">
        <f t="shared" si="8"/>
        <v>?utm_source=selecione&amp;utm_medium=selecione&amp;utm_campaign=_selecione_selecione_selecione_selecione_selecione_selecione&amp;utm_content=___&amp;utm_term=##IDPlay##_</v>
      </c>
      <c r="C292" s="10" t="s">
        <v>34</v>
      </c>
      <c r="D292" s="10" t="s">
        <v>34</v>
      </c>
      <c r="F292" s="10" t="s">
        <v>34</v>
      </c>
      <c r="G292" s="10" t="s">
        <v>34</v>
      </c>
      <c r="H292" s="10" t="s">
        <v>34</v>
      </c>
      <c r="I292" s="10" t="s">
        <v>34</v>
      </c>
      <c r="J292" s="10" t="s">
        <v>34</v>
      </c>
      <c r="K292" s="10" t="s">
        <v>34</v>
      </c>
      <c r="L292" s="10" t="s">
        <v>35</v>
      </c>
      <c r="M292" s="10" t="s">
        <v>36</v>
      </c>
      <c r="N292" s="10" t="s">
        <v>37</v>
      </c>
      <c r="O292" s="10" t="s">
        <v>38</v>
      </c>
      <c r="P292" s="10" t="s">
        <v>39</v>
      </c>
      <c r="Q292" s="10" t="s">
        <v>40</v>
      </c>
      <c r="R292" s="10" t="s">
        <v>41</v>
      </c>
      <c r="Y292" s="10" t="s">
        <v>382</v>
      </c>
      <c r="AA292" s="74" t="str">
        <f t="shared" si="3"/>
        <v>?</v>
      </c>
    </row>
    <row r="293" ht="14.25" customHeight="1">
      <c r="A293" s="10" t="str">
        <f t="shared" si="8"/>
        <v>?utm_source=selecione&amp;utm_medium=selecione&amp;utm_campaign=_selecione_selecione_selecione_selecione_selecione_selecione&amp;utm_content=___&amp;utm_term=##IDPlay##_</v>
      </c>
      <c r="C293" s="10" t="s">
        <v>34</v>
      </c>
      <c r="D293" s="10" t="s">
        <v>34</v>
      </c>
      <c r="F293" s="10" t="s">
        <v>34</v>
      </c>
      <c r="G293" s="10" t="s">
        <v>34</v>
      </c>
      <c r="H293" s="10" t="s">
        <v>34</v>
      </c>
      <c r="I293" s="10" t="s">
        <v>34</v>
      </c>
      <c r="J293" s="10" t="s">
        <v>34</v>
      </c>
      <c r="K293" s="10" t="s">
        <v>34</v>
      </c>
      <c r="L293" s="10" t="s">
        <v>35</v>
      </c>
      <c r="M293" s="10" t="s">
        <v>36</v>
      </c>
      <c r="N293" s="10" t="s">
        <v>37</v>
      </c>
      <c r="O293" s="10" t="s">
        <v>38</v>
      </c>
      <c r="P293" s="10" t="s">
        <v>39</v>
      </c>
      <c r="Q293" s="10" t="s">
        <v>40</v>
      </c>
      <c r="R293" s="10" t="s">
        <v>41</v>
      </c>
      <c r="Y293" s="10" t="s">
        <v>382</v>
      </c>
      <c r="AA293" s="74" t="str">
        <f t="shared" si="3"/>
        <v>?</v>
      </c>
    </row>
    <row r="294" ht="14.25" customHeight="1">
      <c r="A294" s="10" t="str">
        <f t="shared" si="8"/>
        <v>?utm_source=selecione&amp;utm_medium=selecione&amp;utm_campaign=_selecione_selecione_selecione_selecione_selecione_selecione&amp;utm_content=___&amp;utm_term=##IDPlay##_</v>
      </c>
      <c r="C294" s="10" t="s">
        <v>34</v>
      </c>
      <c r="D294" s="10" t="s">
        <v>34</v>
      </c>
      <c r="F294" s="10" t="s">
        <v>34</v>
      </c>
      <c r="G294" s="10" t="s">
        <v>34</v>
      </c>
      <c r="H294" s="10" t="s">
        <v>34</v>
      </c>
      <c r="I294" s="10" t="s">
        <v>34</v>
      </c>
      <c r="J294" s="10" t="s">
        <v>34</v>
      </c>
      <c r="K294" s="10" t="s">
        <v>34</v>
      </c>
      <c r="L294" s="10" t="s">
        <v>35</v>
      </c>
      <c r="M294" s="10" t="s">
        <v>36</v>
      </c>
      <c r="N294" s="10" t="s">
        <v>37</v>
      </c>
      <c r="O294" s="10" t="s">
        <v>38</v>
      </c>
      <c r="P294" s="10" t="s">
        <v>39</v>
      </c>
      <c r="Q294" s="10" t="s">
        <v>40</v>
      </c>
      <c r="R294" s="10" t="s">
        <v>41</v>
      </c>
      <c r="Y294" s="10" t="s">
        <v>382</v>
      </c>
      <c r="AA294" s="74" t="str">
        <f t="shared" si="3"/>
        <v>?</v>
      </c>
    </row>
    <row r="295" ht="14.25" customHeight="1">
      <c r="A295" s="10" t="str">
        <f t="shared" si="8"/>
        <v>?utm_source=selecione&amp;utm_medium=selecione&amp;utm_campaign=_selecione_selecione_selecione_selecione_selecione_selecione&amp;utm_content=___&amp;utm_term=##IDPlay##_</v>
      </c>
      <c r="C295" s="10" t="s">
        <v>34</v>
      </c>
      <c r="D295" s="10" t="s">
        <v>34</v>
      </c>
      <c r="F295" s="10" t="s">
        <v>34</v>
      </c>
      <c r="G295" s="10" t="s">
        <v>34</v>
      </c>
      <c r="H295" s="10" t="s">
        <v>34</v>
      </c>
      <c r="I295" s="10" t="s">
        <v>34</v>
      </c>
      <c r="J295" s="10" t="s">
        <v>34</v>
      </c>
      <c r="K295" s="10" t="s">
        <v>34</v>
      </c>
      <c r="L295" s="10" t="s">
        <v>35</v>
      </c>
      <c r="M295" s="10" t="s">
        <v>36</v>
      </c>
      <c r="N295" s="10" t="s">
        <v>37</v>
      </c>
      <c r="O295" s="10" t="s">
        <v>38</v>
      </c>
      <c r="P295" s="10" t="s">
        <v>39</v>
      </c>
      <c r="Q295" s="10" t="s">
        <v>40</v>
      </c>
      <c r="R295" s="10" t="s">
        <v>41</v>
      </c>
      <c r="Y295" s="10" t="s">
        <v>382</v>
      </c>
      <c r="AA295" s="74" t="str">
        <f t="shared" si="3"/>
        <v>?</v>
      </c>
    </row>
    <row r="296" ht="14.25" customHeight="1">
      <c r="A296" s="10" t="str">
        <f t="shared" si="8"/>
        <v>?utm_source=selecione&amp;utm_medium=selecione&amp;utm_campaign=_selecione_selecione_selecione_selecione_selecione_selecione&amp;utm_content=___&amp;utm_term=##IDPlay##_</v>
      </c>
      <c r="C296" s="10" t="s">
        <v>34</v>
      </c>
      <c r="D296" s="10" t="s">
        <v>34</v>
      </c>
      <c r="F296" s="10" t="s">
        <v>34</v>
      </c>
      <c r="G296" s="10" t="s">
        <v>34</v>
      </c>
      <c r="H296" s="10" t="s">
        <v>34</v>
      </c>
      <c r="I296" s="10" t="s">
        <v>34</v>
      </c>
      <c r="J296" s="10" t="s">
        <v>34</v>
      </c>
      <c r="K296" s="10" t="s">
        <v>34</v>
      </c>
      <c r="L296" s="10" t="s">
        <v>35</v>
      </c>
      <c r="M296" s="10" t="s">
        <v>36</v>
      </c>
      <c r="N296" s="10" t="s">
        <v>37</v>
      </c>
      <c r="O296" s="10" t="s">
        <v>38</v>
      </c>
      <c r="P296" s="10" t="s">
        <v>39</v>
      </c>
      <c r="Q296" s="10" t="s">
        <v>40</v>
      </c>
      <c r="R296" s="10" t="s">
        <v>41</v>
      </c>
      <c r="Y296" s="10" t="s">
        <v>382</v>
      </c>
      <c r="AA296" s="74" t="str">
        <f t="shared" si="3"/>
        <v>?</v>
      </c>
    </row>
    <row r="297" ht="14.25" customHeight="1">
      <c r="A297" s="10" t="str">
        <f t="shared" si="8"/>
        <v>?utm_source=selecione&amp;utm_medium=selecione&amp;utm_campaign=_selecione_selecione_selecione_selecione_selecione_selecione&amp;utm_content=___&amp;utm_term=##IDPlay##_</v>
      </c>
      <c r="C297" s="10" t="s">
        <v>34</v>
      </c>
      <c r="D297" s="10" t="s">
        <v>34</v>
      </c>
      <c r="F297" s="10" t="s">
        <v>34</v>
      </c>
      <c r="G297" s="10" t="s">
        <v>34</v>
      </c>
      <c r="H297" s="10" t="s">
        <v>34</v>
      </c>
      <c r="I297" s="10" t="s">
        <v>34</v>
      </c>
      <c r="J297" s="10" t="s">
        <v>34</v>
      </c>
      <c r="K297" s="10" t="s">
        <v>34</v>
      </c>
      <c r="L297" s="10" t="s">
        <v>35</v>
      </c>
      <c r="M297" s="10" t="s">
        <v>36</v>
      </c>
      <c r="N297" s="10" t="s">
        <v>37</v>
      </c>
      <c r="O297" s="10" t="s">
        <v>38</v>
      </c>
      <c r="P297" s="10" t="s">
        <v>39</v>
      </c>
      <c r="Q297" s="10" t="s">
        <v>40</v>
      </c>
      <c r="R297" s="10" t="s">
        <v>41</v>
      </c>
      <c r="Y297" s="10" t="s">
        <v>382</v>
      </c>
      <c r="AA297" s="74" t="str">
        <f t="shared" si="3"/>
        <v>?</v>
      </c>
    </row>
    <row r="298" ht="14.25" customHeight="1">
      <c r="A298" s="10" t="str">
        <f t="shared" si="8"/>
        <v>?utm_source=selecione&amp;utm_medium=selecione&amp;utm_campaign=_selecione_selecione_selecione_selecione_selecione_selecione&amp;utm_content=___&amp;utm_term=##IDPlay##_</v>
      </c>
      <c r="C298" s="10" t="s">
        <v>34</v>
      </c>
      <c r="D298" s="10" t="s">
        <v>34</v>
      </c>
      <c r="F298" s="10" t="s">
        <v>34</v>
      </c>
      <c r="G298" s="10" t="s">
        <v>34</v>
      </c>
      <c r="H298" s="10" t="s">
        <v>34</v>
      </c>
      <c r="I298" s="10" t="s">
        <v>34</v>
      </c>
      <c r="J298" s="10" t="s">
        <v>34</v>
      </c>
      <c r="K298" s="10" t="s">
        <v>34</v>
      </c>
      <c r="L298" s="10" t="s">
        <v>35</v>
      </c>
      <c r="M298" s="10" t="s">
        <v>36</v>
      </c>
      <c r="N298" s="10" t="s">
        <v>37</v>
      </c>
      <c r="O298" s="10" t="s">
        <v>38</v>
      </c>
      <c r="P298" s="10" t="s">
        <v>39</v>
      </c>
      <c r="Q298" s="10" t="s">
        <v>40</v>
      </c>
      <c r="R298" s="10" t="s">
        <v>41</v>
      </c>
      <c r="Y298" s="10" t="s">
        <v>382</v>
      </c>
      <c r="AA298" s="74" t="str">
        <f t="shared" si="3"/>
        <v>?</v>
      </c>
    </row>
    <row r="299" ht="14.25" customHeight="1">
      <c r="A299" s="10" t="str">
        <f t="shared" si="8"/>
        <v>?utm_source=selecione&amp;utm_medium=selecione&amp;utm_campaign=_selecione_selecione_selecione_selecione_selecione_selecione&amp;utm_content=___&amp;utm_term=##IDPlay##_</v>
      </c>
      <c r="C299" s="10" t="s">
        <v>34</v>
      </c>
      <c r="D299" s="10" t="s">
        <v>34</v>
      </c>
      <c r="F299" s="10" t="s">
        <v>34</v>
      </c>
      <c r="G299" s="10" t="s">
        <v>34</v>
      </c>
      <c r="H299" s="10" t="s">
        <v>34</v>
      </c>
      <c r="I299" s="10" t="s">
        <v>34</v>
      </c>
      <c r="J299" s="10" t="s">
        <v>34</v>
      </c>
      <c r="K299" s="10" t="s">
        <v>34</v>
      </c>
      <c r="L299" s="10" t="s">
        <v>35</v>
      </c>
      <c r="M299" s="10" t="s">
        <v>36</v>
      </c>
      <c r="N299" s="10" t="s">
        <v>37</v>
      </c>
      <c r="O299" s="10" t="s">
        <v>38</v>
      </c>
      <c r="P299" s="10" t="s">
        <v>39</v>
      </c>
      <c r="Q299" s="10" t="s">
        <v>40</v>
      </c>
      <c r="R299" s="10" t="s">
        <v>41</v>
      </c>
      <c r="Y299" s="10" t="s">
        <v>382</v>
      </c>
      <c r="AA299" s="74" t="str">
        <f t="shared" si="3"/>
        <v>?</v>
      </c>
    </row>
    <row r="300" ht="14.25" customHeight="1">
      <c r="A300" s="10" t="str">
        <f t="shared" si="8"/>
        <v>?utm_source=selecione&amp;utm_medium=selecione&amp;utm_campaign=_selecione_selecione_selecione_selecione_selecione_selecione&amp;utm_content=___&amp;utm_term=##IDPlay##_</v>
      </c>
      <c r="C300" s="10" t="s">
        <v>34</v>
      </c>
      <c r="D300" s="10" t="s">
        <v>34</v>
      </c>
      <c r="F300" s="10" t="s">
        <v>34</v>
      </c>
      <c r="G300" s="10" t="s">
        <v>34</v>
      </c>
      <c r="H300" s="10" t="s">
        <v>34</v>
      </c>
      <c r="I300" s="10" t="s">
        <v>34</v>
      </c>
      <c r="J300" s="10" t="s">
        <v>34</v>
      </c>
      <c r="K300" s="10" t="s">
        <v>34</v>
      </c>
      <c r="L300" s="10" t="s">
        <v>35</v>
      </c>
      <c r="M300" s="10" t="s">
        <v>36</v>
      </c>
      <c r="N300" s="10" t="s">
        <v>37</v>
      </c>
      <c r="O300" s="10" t="s">
        <v>38</v>
      </c>
      <c r="P300" s="10" t="s">
        <v>39</v>
      </c>
      <c r="Q300" s="10" t="s">
        <v>40</v>
      </c>
      <c r="R300" s="10" t="s">
        <v>41</v>
      </c>
      <c r="Y300" s="10" t="s">
        <v>382</v>
      </c>
      <c r="AA300" s="74" t="str">
        <f t="shared" si="3"/>
        <v>?</v>
      </c>
    </row>
    <row r="301" ht="14.25" customHeight="1">
      <c r="A301" s="10" t="str">
        <f t="shared" si="8"/>
        <v>?utm_source=selecione&amp;utm_medium=selecione&amp;utm_campaign=_selecione_selecione_selecione_selecione_selecione_selecione&amp;utm_content=___&amp;utm_term=##IDPlay##_</v>
      </c>
      <c r="C301" s="10" t="s">
        <v>34</v>
      </c>
      <c r="D301" s="10" t="s">
        <v>34</v>
      </c>
      <c r="F301" s="10" t="s">
        <v>34</v>
      </c>
      <c r="G301" s="10" t="s">
        <v>34</v>
      </c>
      <c r="H301" s="10" t="s">
        <v>34</v>
      </c>
      <c r="I301" s="10" t="s">
        <v>34</v>
      </c>
      <c r="J301" s="10" t="s">
        <v>34</v>
      </c>
      <c r="K301" s="10" t="s">
        <v>34</v>
      </c>
      <c r="L301" s="10" t="s">
        <v>35</v>
      </c>
      <c r="M301" s="10" t="s">
        <v>36</v>
      </c>
      <c r="N301" s="10" t="s">
        <v>37</v>
      </c>
      <c r="O301" s="10" t="s">
        <v>38</v>
      </c>
      <c r="P301" s="10" t="s">
        <v>39</v>
      </c>
      <c r="Q301" s="10" t="s">
        <v>40</v>
      </c>
      <c r="R301" s="10" t="s">
        <v>41</v>
      </c>
      <c r="Y301" s="10" t="s">
        <v>382</v>
      </c>
      <c r="AA301" s="74" t="str">
        <f t="shared" si="3"/>
        <v>?</v>
      </c>
    </row>
    <row r="302" ht="14.25" customHeight="1">
      <c r="A302" s="10" t="str">
        <f t="shared" si="8"/>
        <v>?utm_source=selecione&amp;utm_medium=selecione&amp;utm_campaign=_selecione_selecione_selecione_selecione_selecione_selecione&amp;utm_content=___&amp;utm_term=##IDPlay##_</v>
      </c>
      <c r="C302" s="10" t="s">
        <v>34</v>
      </c>
      <c r="D302" s="10" t="s">
        <v>34</v>
      </c>
      <c r="F302" s="10" t="s">
        <v>34</v>
      </c>
      <c r="G302" s="10" t="s">
        <v>34</v>
      </c>
      <c r="H302" s="10" t="s">
        <v>34</v>
      </c>
      <c r="I302" s="10" t="s">
        <v>34</v>
      </c>
      <c r="J302" s="10" t="s">
        <v>34</v>
      </c>
      <c r="K302" s="10" t="s">
        <v>34</v>
      </c>
      <c r="L302" s="10" t="s">
        <v>35</v>
      </c>
      <c r="M302" s="10" t="s">
        <v>36</v>
      </c>
      <c r="N302" s="10" t="s">
        <v>37</v>
      </c>
      <c r="O302" s="10" t="s">
        <v>38</v>
      </c>
      <c r="P302" s="10" t="s">
        <v>39</v>
      </c>
      <c r="Q302" s="10" t="s">
        <v>40</v>
      </c>
      <c r="R302" s="10" t="s">
        <v>41</v>
      </c>
      <c r="Y302" s="10" t="s">
        <v>382</v>
      </c>
      <c r="AA302" s="74" t="str">
        <f t="shared" si="3"/>
        <v>?</v>
      </c>
    </row>
    <row r="303" ht="14.25" customHeight="1">
      <c r="A303" s="10" t="str">
        <f t="shared" si="8"/>
        <v>?utm_source=selecione&amp;utm_medium=selecione&amp;utm_campaign=_selecione_selecione_selecione_selecione_selecione_selecione&amp;utm_content=___&amp;utm_term=##IDPlay##_</v>
      </c>
      <c r="C303" s="10" t="s">
        <v>34</v>
      </c>
      <c r="D303" s="10" t="s">
        <v>34</v>
      </c>
      <c r="F303" s="10" t="s">
        <v>34</v>
      </c>
      <c r="G303" s="10" t="s">
        <v>34</v>
      </c>
      <c r="H303" s="10" t="s">
        <v>34</v>
      </c>
      <c r="I303" s="10" t="s">
        <v>34</v>
      </c>
      <c r="J303" s="10" t="s">
        <v>34</v>
      </c>
      <c r="K303" s="10" t="s">
        <v>34</v>
      </c>
      <c r="L303" s="10" t="s">
        <v>35</v>
      </c>
      <c r="M303" s="10" t="s">
        <v>36</v>
      </c>
      <c r="N303" s="10" t="s">
        <v>37</v>
      </c>
      <c r="O303" s="10" t="s">
        <v>38</v>
      </c>
      <c r="P303" s="10" t="s">
        <v>39</v>
      </c>
      <c r="Q303" s="10" t="s">
        <v>40</v>
      </c>
      <c r="R303" s="10" t="s">
        <v>41</v>
      </c>
      <c r="Y303" s="10" t="s">
        <v>382</v>
      </c>
      <c r="AA303" s="74" t="str">
        <f t="shared" si="3"/>
        <v>?</v>
      </c>
    </row>
    <row r="304" ht="14.25" customHeight="1">
      <c r="A304" s="10" t="str">
        <f t="shared" si="8"/>
        <v>?utm_source=selecione&amp;utm_medium=selecione&amp;utm_campaign=_selecione_selecione_selecione_selecione_selecione_selecione&amp;utm_content=___&amp;utm_term=##IDPlay##_</v>
      </c>
      <c r="C304" s="10" t="s">
        <v>34</v>
      </c>
      <c r="D304" s="10" t="s">
        <v>34</v>
      </c>
      <c r="F304" s="10" t="s">
        <v>34</v>
      </c>
      <c r="G304" s="10" t="s">
        <v>34</v>
      </c>
      <c r="H304" s="10" t="s">
        <v>34</v>
      </c>
      <c r="I304" s="10" t="s">
        <v>34</v>
      </c>
      <c r="J304" s="10" t="s">
        <v>34</v>
      </c>
      <c r="K304" s="10" t="s">
        <v>34</v>
      </c>
      <c r="L304" s="10" t="s">
        <v>35</v>
      </c>
      <c r="M304" s="10" t="s">
        <v>36</v>
      </c>
      <c r="N304" s="10" t="s">
        <v>37</v>
      </c>
      <c r="O304" s="10" t="s">
        <v>38</v>
      </c>
      <c r="P304" s="10" t="s">
        <v>39</v>
      </c>
      <c r="Q304" s="10" t="s">
        <v>40</v>
      </c>
      <c r="R304" s="10" t="s">
        <v>41</v>
      </c>
      <c r="Y304" s="10" t="s">
        <v>382</v>
      </c>
      <c r="AA304" s="74" t="str">
        <f t="shared" si="3"/>
        <v>?</v>
      </c>
    </row>
    <row r="305" ht="14.25" customHeight="1">
      <c r="A305" s="10" t="str">
        <f t="shared" si="8"/>
        <v>?utm_source=selecione&amp;utm_medium=selecione&amp;utm_campaign=_selecione_selecione_selecione_selecione_selecione_selecione&amp;utm_content=___&amp;utm_term=##IDPlay##_</v>
      </c>
      <c r="C305" s="10" t="s">
        <v>34</v>
      </c>
      <c r="D305" s="10" t="s">
        <v>34</v>
      </c>
      <c r="F305" s="10" t="s">
        <v>34</v>
      </c>
      <c r="G305" s="10" t="s">
        <v>34</v>
      </c>
      <c r="H305" s="10" t="s">
        <v>34</v>
      </c>
      <c r="I305" s="10" t="s">
        <v>34</v>
      </c>
      <c r="J305" s="10" t="s">
        <v>34</v>
      </c>
      <c r="K305" s="10" t="s">
        <v>34</v>
      </c>
      <c r="L305" s="10" t="s">
        <v>35</v>
      </c>
      <c r="M305" s="10" t="s">
        <v>36</v>
      </c>
      <c r="N305" s="10" t="s">
        <v>37</v>
      </c>
      <c r="O305" s="10" t="s">
        <v>38</v>
      </c>
      <c r="P305" s="10" t="s">
        <v>39</v>
      </c>
      <c r="Q305" s="10" t="s">
        <v>40</v>
      </c>
      <c r="R305" s="10" t="s">
        <v>41</v>
      </c>
      <c r="Y305" s="10" t="s">
        <v>382</v>
      </c>
      <c r="AA305" s="74" t="str">
        <f t="shared" si="3"/>
        <v>?</v>
      </c>
    </row>
    <row r="306" ht="14.25" customHeight="1">
      <c r="A306" s="10" t="str">
        <f t="shared" si="8"/>
        <v>?utm_source=selecione&amp;utm_medium=selecione&amp;utm_campaign=_selecione_selecione_selecione_selecione_selecione_selecione&amp;utm_content=___&amp;utm_term=##IDPlay##_</v>
      </c>
      <c r="C306" s="10" t="s">
        <v>34</v>
      </c>
      <c r="D306" s="10" t="s">
        <v>34</v>
      </c>
      <c r="F306" s="10" t="s">
        <v>34</v>
      </c>
      <c r="G306" s="10" t="s">
        <v>34</v>
      </c>
      <c r="H306" s="10" t="s">
        <v>34</v>
      </c>
      <c r="I306" s="10" t="s">
        <v>34</v>
      </c>
      <c r="J306" s="10" t="s">
        <v>34</v>
      </c>
      <c r="K306" s="10" t="s">
        <v>34</v>
      </c>
      <c r="L306" s="10" t="s">
        <v>35</v>
      </c>
      <c r="M306" s="10" t="s">
        <v>36</v>
      </c>
      <c r="N306" s="10" t="s">
        <v>37</v>
      </c>
      <c r="O306" s="10" t="s">
        <v>38</v>
      </c>
      <c r="P306" s="10" t="s">
        <v>39</v>
      </c>
      <c r="Q306" s="10" t="s">
        <v>40</v>
      </c>
      <c r="R306" s="10" t="s">
        <v>41</v>
      </c>
      <c r="Y306" s="10" t="s">
        <v>382</v>
      </c>
      <c r="AA306" s="74" t="str">
        <f t="shared" si="3"/>
        <v>?</v>
      </c>
    </row>
    <row r="307" ht="14.25" customHeight="1">
      <c r="A307" s="10" t="str">
        <f t="shared" si="8"/>
        <v>?utm_source=selecione&amp;utm_medium=selecione&amp;utm_campaign=_selecione_selecione_selecione_selecione_selecione_selecione&amp;utm_content=___&amp;utm_term=##IDPlay##_</v>
      </c>
      <c r="C307" s="10" t="s">
        <v>34</v>
      </c>
      <c r="D307" s="10" t="s">
        <v>34</v>
      </c>
      <c r="F307" s="10" t="s">
        <v>34</v>
      </c>
      <c r="G307" s="10" t="s">
        <v>34</v>
      </c>
      <c r="H307" s="10" t="s">
        <v>34</v>
      </c>
      <c r="I307" s="10" t="s">
        <v>34</v>
      </c>
      <c r="J307" s="10" t="s">
        <v>34</v>
      </c>
      <c r="K307" s="10" t="s">
        <v>34</v>
      </c>
      <c r="L307" s="10" t="s">
        <v>35</v>
      </c>
      <c r="M307" s="10" t="s">
        <v>36</v>
      </c>
      <c r="N307" s="10" t="s">
        <v>37</v>
      </c>
      <c r="O307" s="10" t="s">
        <v>38</v>
      </c>
      <c r="P307" s="10" t="s">
        <v>39</v>
      </c>
      <c r="Q307" s="10" t="s">
        <v>40</v>
      </c>
      <c r="R307" s="10" t="s">
        <v>41</v>
      </c>
      <c r="Y307" s="10" t="s">
        <v>382</v>
      </c>
      <c r="AA307" s="74" t="str">
        <f t="shared" si="3"/>
        <v>?</v>
      </c>
    </row>
    <row r="308" ht="14.25" customHeight="1">
      <c r="A308" s="10" t="str">
        <f t="shared" si="8"/>
        <v>?utm_source=selecione&amp;utm_medium=selecione&amp;utm_campaign=_selecione_selecione_selecione_selecione_selecione_selecione&amp;utm_content=___&amp;utm_term=##IDPlay##_</v>
      </c>
      <c r="C308" s="10" t="s">
        <v>34</v>
      </c>
      <c r="D308" s="10" t="s">
        <v>34</v>
      </c>
      <c r="F308" s="10" t="s">
        <v>34</v>
      </c>
      <c r="G308" s="10" t="s">
        <v>34</v>
      </c>
      <c r="H308" s="10" t="s">
        <v>34</v>
      </c>
      <c r="I308" s="10" t="s">
        <v>34</v>
      </c>
      <c r="J308" s="10" t="s">
        <v>34</v>
      </c>
      <c r="K308" s="10" t="s">
        <v>34</v>
      </c>
      <c r="L308" s="10" t="s">
        <v>35</v>
      </c>
      <c r="M308" s="10" t="s">
        <v>36</v>
      </c>
      <c r="N308" s="10" t="s">
        <v>37</v>
      </c>
      <c r="O308" s="10" t="s">
        <v>38</v>
      </c>
      <c r="P308" s="10" t="s">
        <v>39</v>
      </c>
      <c r="Q308" s="10" t="s">
        <v>40</v>
      </c>
      <c r="R308" s="10" t="s">
        <v>41</v>
      </c>
      <c r="Y308" s="10" t="s">
        <v>382</v>
      </c>
      <c r="AA308" s="74" t="str">
        <f t="shared" si="3"/>
        <v>?</v>
      </c>
    </row>
    <row r="309" ht="14.25" customHeight="1">
      <c r="A309" s="10" t="str">
        <f t="shared" si="8"/>
        <v>?utm_source=selecione&amp;utm_medium=selecione&amp;utm_campaign=_selecione_selecione_selecione_selecione_selecione_selecione&amp;utm_content=___&amp;utm_term=##IDPlay##_</v>
      </c>
      <c r="C309" s="10" t="s">
        <v>34</v>
      </c>
      <c r="D309" s="10" t="s">
        <v>34</v>
      </c>
      <c r="F309" s="10" t="s">
        <v>34</v>
      </c>
      <c r="G309" s="10" t="s">
        <v>34</v>
      </c>
      <c r="H309" s="10" t="s">
        <v>34</v>
      </c>
      <c r="I309" s="10" t="s">
        <v>34</v>
      </c>
      <c r="J309" s="10" t="s">
        <v>34</v>
      </c>
      <c r="K309" s="10" t="s">
        <v>34</v>
      </c>
      <c r="L309" s="10" t="s">
        <v>35</v>
      </c>
      <c r="M309" s="10" t="s">
        <v>36</v>
      </c>
      <c r="N309" s="10" t="s">
        <v>37</v>
      </c>
      <c r="O309" s="10" t="s">
        <v>38</v>
      </c>
      <c r="P309" s="10" t="s">
        <v>39</v>
      </c>
      <c r="Q309" s="10" t="s">
        <v>40</v>
      </c>
      <c r="R309" s="10" t="s">
        <v>41</v>
      </c>
      <c r="Y309" s="10" t="s">
        <v>382</v>
      </c>
      <c r="AA309" s="74" t="str">
        <f t="shared" si="3"/>
        <v>?</v>
      </c>
    </row>
    <row r="310" ht="14.25" customHeight="1">
      <c r="A310" s="10" t="str">
        <f t="shared" si="8"/>
        <v>?utm_source=selecione&amp;utm_medium=selecione&amp;utm_campaign=_selecione_selecione_selecione_selecione_selecione_selecione&amp;utm_content=___&amp;utm_term=##IDPlay##_</v>
      </c>
      <c r="C310" s="10" t="s">
        <v>34</v>
      </c>
      <c r="D310" s="10" t="s">
        <v>34</v>
      </c>
      <c r="F310" s="10" t="s">
        <v>34</v>
      </c>
      <c r="G310" s="10" t="s">
        <v>34</v>
      </c>
      <c r="H310" s="10" t="s">
        <v>34</v>
      </c>
      <c r="I310" s="10" t="s">
        <v>34</v>
      </c>
      <c r="J310" s="10" t="s">
        <v>34</v>
      </c>
      <c r="K310" s="10" t="s">
        <v>34</v>
      </c>
      <c r="L310" s="10" t="s">
        <v>35</v>
      </c>
      <c r="M310" s="10" t="s">
        <v>36</v>
      </c>
      <c r="N310" s="10" t="s">
        <v>37</v>
      </c>
      <c r="O310" s="10" t="s">
        <v>38</v>
      </c>
      <c r="P310" s="10" t="s">
        <v>39</v>
      </c>
      <c r="Q310" s="10" t="s">
        <v>40</v>
      </c>
      <c r="R310" s="10" t="s">
        <v>41</v>
      </c>
      <c r="Y310" s="10" t="s">
        <v>382</v>
      </c>
      <c r="AA310" s="74" t="str">
        <f t="shared" si="3"/>
        <v>?</v>
      </c>
    </row>
    <row r="311" ht="14.25" customHeight="1">
      <c r="A311" s="10" t="str">
        <f t="shared" si="8"/>
        <v>?utm_source=selecione&amp;utm_medium=selecione&amp;utm_campaign=_selecione_selecione_selecione_selecione_selecione_selecione&amp;utm_content=___&amp;utm_term=##IDPlay##_</v>
      </c>
      <c r="C311" s="10" t="s">
        <v>34</v>
      </c>
      <c r="D311" s="10" t="s">
        <v>34</v>
      </c>
      <c r="F311" s="10" t="s">
        <v>34</v>
      </c>
      <c r="G311" s="10" t="s">
        <v>34</v>
      </c>
      <c r="H311" s="10" t="s">
        <v>34</v>
      </c>
      <c r="I311" s="10" t="s">
        <v>34</v>
      </c>
      <c r="J311" s="10" t="s">
        <v>34</v>
      </c>
      <c r="K311" s="10" t="s">
        <v>34</v>
      </c>
      <c r="L311" s="10" t="s">
        <v>35</v>
      </c>
      <c r="M311" s="10" t="s">
        <v>36</v>
      </c>
      <c r="N311" s="10" t="s">
        <v>37</v>
      </c>
      <c r="O311" s="10" t="s">
        <v>38</v>
      </c>
      <c r="P311" s="10" t="s">
        <v>39</v>
      </c>
      <c r="Q311" s="10" t="s">
        <v>40</v>
      </c>
      <c r="R311" s="10" t="s">
        <v>41</v>
      </c>
      <c r="Y311" s="10" t="s">
        <v>382</v>
      </c>
      <c r="AA311" s="74" t="str">
        <f t="shared" si="3"/>
        <v>?</v>
      </c>
    </row>
    <row r="312" ht="14.25" customHeight="1">
      <c r="A312" s="10" t="str">
        <f t="shared" si="8"/>
        <v>?utm_source=selecione&amp;utm_medium=selecione&amp;utm_campaign=_selecione_selecione_selecione_selecione_selecione_selecione&amp;utm_content=___&amp;utm_term=##IDPlay##_</v>
      </c>
      <c r="C312" s="10" t="s">
        <v>34</v>
      </c>
      <c r="D312" s="10" t="s">
        <v>34</v>
      </c>
      <c r="F312" s="10" t="s">
        <v>34</v>
      </c>
      <c r="G312" s="10" t="s">
        <v>34</v>
      </c>
      <c r="H312" s="10" t="s">
        <v>34</v>
      </c>
      <c r="I312" s="10" t="s">
        <v>34</v>
      </c>
      <c r="J312" s="10" t="s">
        <v>34</v>
      </c>
      <c r="K312" s="10" t="s">
        <v>34</v>
      </c>
      <c r="L312" s="10" t="s">
        <v>35</v>
      </c>
      <c r="M312" s="10" t="s">
        <v>36</v>
      </c>
      <c r="N312" s="10" t="s">
        <v>37</v>
      </c>
      <c r="O312" s="10" t="s">
        <v>38</v>
      </c>
      <c r="P312" s="10" t="s">
        <v>39</v>
      </c>
      <c r="Q312" s="10" t="s">
        <v>40</v>
      </c>
      <c r="R312" s="10" t="s">
        <v>41</v>
      </c>
      <c r="Y312" s="10" t="s">
        <v>382</v>
      </c>
      <c r="AA312" s="74" t="str">
        <f t="shared" si="3"/>
        <v>?</v>
      </c>
    </row>
    <row r="313" ht="14.25" customHeight="1">
      <c r="A313" s="10" t="str">
        <f t="shared" si="8"/>
        <v>?utm_source=selecione&amp;utm_medium=selecione&amp;utm_campaign=_selecione_selecione_selecione_selecione_selecione_selecione&amp;utm_content=___&amp;utm_term=##IDPlay##_</v>
      </c>
      <c r="C313" s="10" t="s">
        <v>34</v>
      </c>
      <c r="D313" s="10" t="s">
        <v>34</v>
      </c>
      <c r="F313" s="10" t="s">
        <v>34</v>
      </c>
      <c r="G313" s="10" t="s">
        <v>34</v>
      </c>
      <c r="H313" s="10" t="s">
        <v>34</v>
      </c>
      <c r="I313" s="10" t="s">
        <v>34</v>
      </c>
      <c r="J313" s="10" t="s">
        <v>34</v>
      </c>
      <c r="K313" s="10" t="s">
        <v>34</v>
      </c>
      <c r="L313" s="10" t="s">
        <v>35</v>
      </c>
      <c r="M313" s="10" t="s">
        <v>36</v>
      </c>
      <c r="N313" s="10" t="s">
        <v>37</v>
      </c>
      <c r="O313" s="10" t="s">
        <v>38</v>
      </c>
      <c r="P313" s="10" t="s">
        <v>39</v>
      </c>
      <c r="Q313" s="10" t="s">
        <v>40</v>
      </c>
      <c r="R313" s="10" t="s">
        <v>41</v>
      </c>
      <c r="Y313" s="10" t="s">
        <v>382</v>
      </c>
      <c r="AA313" s="74" t="str">
        <f t="shared" si="3"/>
        <v>?</v>
      </c>
    </row>
    <row r="314" ht="14.25" customHeight="1">
      <c r="A314" s="10" t="str">
        <f t="shared" si="8"/>
        <v>?utm_source=selecione&amp;utm_medium=selecione&amp;utm_campaign=_selecione_selecione_selecione_selecione_selecione_selecione&amp;utm_content=___&amp;utm_term=##IDPlay##_</v>
      </c>
      <c r="C314" s="10" t="s">
        <v>34</v>
      </c>
      <c r="D314" s="10" t="s">
        <v>34</v>
      </c>
      <c r="F314" s="10" t="s">
        <v>34</v>
      </c>
      <c r="G314" s="10" t="s">
        <v>34</v>
      </c>
      <c r="H314" s="10" t="s">
        <v>34</v>
      </c>
      <c r="I314" s="10" t="s">
        <v>34</v>
      </c>
      <c r="J314" s="10" t="s">
        <v>34</v>
      </c>
      <c r="K314" s="10" t="s">
        <v>34</v>
      </c>
      <c r="L314" s="10" t="s">
        <v>35</v>
      </c>
      <c r="M314" s="10" t="s">
        <v>36</v>
      </c>
      <c r="N314" s="10" t="s">
        <v>37</v>
      </c>
      <c r="O314" s="10" t="s">
        <v>38</v>
      </c>
      <c r="P314" s="10" t="s">
        <v>39</v>
      </c>
      <c r="Q314" s="10" t="s">
        <v>40</v>
      </c>
      <c r="R314" s="10" t="s">
        <v>41</v>
      </c>
      <c r="Y314" s="10" t="s">
        <v>382</v>
      </c>
      <c r="AA314" s="74" t="str">
        <f t="shared" si="3"/>
        <v>?</v>
      </c>
    </row>
    <row r="315" ht="14.25" customHeight="1">
      <c r="A315" s="10" t="str">
        <f t="shared" si="8"/>
        <v>?utm_source=selecione&amp;utm_medium=selecione&amp;utm_campaign=_selecione_selecione_selecione_selecione_selecione_selecione&amp;utm_content=___&amp;utm_term=##IDPlay##_</v>
      </c>
      <c r="C315" s="10" t="s">
        <v>34</v>
      </c>
      <c r="D315" s="10" t="s">
        <v>34</v>
      </c>
      <c r="F315" s="10" t="s">
        <v>34</v>
      </c>
      <c r="G315" s="10" t="s">
        <v>34</v>
      </c>
      <c r="H315" s="10" t="s">
        <v>34</v>
      </c>
      <c r="I315" s="10" t="s">
        <v>34</v>
      </c>
      <c r="J315" s="10" t="s">
        <v>34</v>
      </c>
      <c r="K315" s="10" t="s">
        <v>34</v>
      </c>
      <c r="L315" s="10" t="s">
        <v>35</v>
      </c>
      <c r="M315" s="10" t="s">
        <v>36</v>
      </c>
      <c r="N315" s="10" t="s">
        <v>37</v>
      </c>
      <c r="O315" s="10" t="s">
        <v>38</v>
      </c>
      <c r="P315" s="10" t="s">
        <v>39</v>
      </c>
      <c r="Q315" s="10" t="s">
        <v>40</v>
      </c>
      <c r="R315" s="10" t="s">
        <v>41</v>
      </c>
      <c r="Y315" s="10" t="s">
        <v>382</v>
      </c>
      <c r="AA315" s="74" t="str">
        <f t="shared" si="3"/>
        <v>?</v>
      </c>
    </row>
    <row r="316" ht="14.25" customHeight="1">
      <c r="A316" s="10" t="str">
        <f t="shared" si="8"/>
        <v>?utm_source=selecione&amp;utm_medium=selecione&amp;utm_campaign=_selecione_selecione_selecione_selecione_selecione_selecione&amp;utm_content=___&amp;utm_term=##IDPlay##_</v>
      </c>
      <c r="C316" s="10" t="s">
        <v>34</v>
      </c>
      <c r="D316" s="10" t="s">
        <v>34</v>
      </c>
      <c r="F316" s="10" t="s">
        <v>34</v>
      </c>
      <c r="G316" s="10" t="s">
        <v>34</v>
      </c>
      <c r="H316" s="10" t="s">
        <v>34</v>
      </c>
      <c r="I316" s="10" t="s">
        <v>34</v>
      </c>
      <c r="J316" s="10" t="s">
        <v>34</v>
      </c>
      <c r="K316" s="10" t="s">
        <v>34</v>
      </c>
      <c r="L316" s="10" t="s">
        <v>35</v>
      </c>
      <c r="M316" s="10" t="s">
        <v>36</v>
      </c>
      <c r="N316" s="10" t="s">
        <v>37</v>
      </c>
      <c r="O316" s="10" t="s">
        <v>38</v>
      </c>
      <c r="P316" s="10" t="s">
        <v>39</v>
      </c>
      <c r="Q316" s="10" t="s">
        <v>40</v>
      </c>
      <c r="R316" s="10" t="s">
        <v>41</v>
      </c>
      <c r="Y316" s="10" t="s">
        <v>382</v>
      </c>
      <c r="AA316" s="74" t="str">
        <f t="shared" si="3"/>
        <v>?</v>
      </c>
    </row>
    <row r="317" ht="14.25" customHeight="1">
      <c r="A317" s="10" t="str">
        <f t="shared" si="8"/>
        <v>?utm_source=selecione&amp;utm_medium=selecione&amp;utm_campaign=_selecione_selecione_selecione_selecione_selecione_selecione&amp;utm_content=___&amp;utm_term=##IDPlay##_</v>
      </c>
      <c r="C317" s="10" t="s">
        <v>34</v>
      </c>
      <c r="D317" s="10" t="s">
        <v>34</v>
      </c>
      <c r="F317" s="10" t="s">
        <v>34</v>
      </c>
      <c r="G317" s="10" t="s">
        <v>34</v>
      </c>
      <c r="H317" s="10" t="s">
        <v>34</v>
      </c>
      <c r="I317" s="10" t="s">
        <v>34</v>
      </c>
      <c r="J317" s="10" t="s">
        <v>34</v>
      </c>
      <c r="K317" s="10" t="s">
        <v>34</v>
      </c>
      <c r="L317" s="10" t="s">
        <v>35</v>
      </c>
      <c r="M317" s="10" t="s">
        <v>36</v>
      </c>
      <c r="N317" s="10" t="s">
        <v>37</v>
      </c>
      <c r="O317" s="10" t="s">
        <v>38</v>
      </c>
      <c r="P317" s="10" t="s">
        <v>39</v>
      </c>
      <c r="Q317" s="10" t="s">
        <v>40</v>
      </c>
      <c r="R317" s="10" t="s">
        <v>41</v>
      </c>
      <c r="Y317" s="10" t="s">
        <v>382</v>
      </c>
      <c r="AA317" s="74" t="str">
        <f t="shared" si="3"/>
        <v>?</v>
      </c>
    </row>
    <row r="318" ht="14.25" customHeight="1">
      <c r="A318" s="10" t="str">
        <f t="shared" si="8"/>
        <v>?utm_source=selecione&amp;utm_medium=selecione&amp;utm_campaign=_selecione_selecione_selecione_selecione_selecione_selecione&amp;utm_content=___&amp;utm_term=##IDPlay##_</v>
      </c>
      <c r="C318" s="10" t="s">
        <v>34</v>
      </c>
      <c r="D318" s="10" t="s">
        <v>34</v>
      </c>
      <c r="F318" s="10" t="s">
        <v>34</v>
      </c>
      <c r="G318" s="10" t="s">
        <v>34</v>
      </c>
      <c r="H318" s="10" t="s">
        <v>34</v>
      </c>
      <c r="I318" s="10" t="s">
        <v>34</v>
      </c>
      <c r="J318" s="10" t="s">
        <v>34</v>
      </c>
      <c r="K318" s="10" t="s">
        <v>34</v>
      </c>
      <c r="L318" s="10" t="s">
        <v>35</v>
      </c>
      <c r="M318" s="10" t="s">
        <v>36</v>
      </c>
      <c r="N318" s="10" t="s">
        <v>37</v>
      </c>
      <c r="O318" s="10" t="s">
        <v>38</v>
      </c>
      <c r="P318" s="10" t="s">
        <v>39</v>
      </c>
      <c r="Q318" s="10" t="s">
        <v>40</v>
      </c>
      <c r="R318" s="10" t="s">
        <v>41</v>
      </c>
      <c r="Y318" s="10" t="s">
        <v>382</v>
      </c>
      <c r="AA318" s="74" t="str">
        <f t="shared" si="3"/>
        <v>?</v>
      </c>
    </row>
    <row r="319" ht="14.25" customHeight="1">
      <c r="A319" s="10" t="str">
        <f t="shared" si="8"/>
        <v>?utm_source=selecione&amp;utm_medium=selecione&amp;utm_campaign=_selecione_selecione_selecione_selecione_selecione_selecione&amp;utm_content=___&amp;utm_term=##IDPlay##_</v>
      </c>
      <c r="C319" s="10" t="s">
        <v>34</v>
      </c>
      <c r="D319" s="10" t="s">
        <v>34</v>
      </c>
      <c r="F319" s="10" t="s">
        <v>34</v>
      </c>
      <c r="G319" s="10" t="s">
        <v>34</v>
      </c>
      <c r="H319" s="10" t="s">
        <v>34</v>
      </c>
      <c r="I319" s="10" t="s">
        <v>34</v>
      </c>
      <c r="J319" s="10" t="s">
        <v>34</v>
      </c>
      <c r="K319" s="10" t="s">
        <v>34</v>
      </c>
      <c r="L319" s="10" t="s">
        <v>35</v>
      </c>
      <c r="M319" s="10" t="s">
        <v>36</v>
      </c>
      <c r="N319" s="10" t="s">
        <v>37</v>
      </c>
      <c r="O319" s="10" t="s">
        <v>38</v>
      </c>
      <c r="P319" s="10" t="s">
        <v>39</v>
      </c>
      <c r="Q319" s="10" t="s">
        <v>40</v>
      </c>
      <c r="R319" s="10" t="s">
        <v>41</v>
      </c>
      <c r="Y319" s="10" t="s">
        <v>382</v>
      </c>
      <c r="AA319" s="74" t="str">
        <f t="shared" si="3"/>
        <v>?</v>
      </c>
    </row>
    <row r="320" ht="14.25" customHeight="1">
      <c r="A320" s="10" t="str">
        <f t="shared" si="8"/>
        <v>?utm_source=selecione&amp;utm_medium=selecione&amp;utm_campaign=_selecione_selecione_selecione_selecione_selecione_selecione&amp;utm_content=___&amp;utm_term=##IDPlay##_</v>
      </c>
      <c r="C320" s="10" t="s">
        <v>34</v>
      </c>
      <c r="D320" s="10" t="s">
        <v>34</v>
      </c>
      <c r="F320" s="10" t="s">
        <v>34</v>
      </c>
      <c r="G320" s="10" t="s">
        <v>34</v>
      </c>
      <c r="H320" s="10" t="s">
        <v>34</v>
      </c>
      <c r="I320" s="10" t="s">
        <v>34</v>
      </c>
      <c r="J320" s="10" t="s">
        <v>34</v>
      </c>
      <c r="K320" s="10" t="s">
        <v>34</v>
      </c>
      <c r="L320" s="10" t="s">
        <v>35</v>
      </c>
      <c r="M320" s="10" t="s">
        <v>36</v>
      </c>
      <c r="N320" s="10" t="s">
        <v>37</v>
      </c>
      <c r="O320" s="10" t="s">
        <v>38</v>
      </c>
      <c r="P320" s="10" t="s">
        <v>39</v>
      </c>
      <c r="Q320" s="10" t="s">
        <v>40</v>
      </c>
      <c r="R320" s="10" t="s">
        <v>41</v>
      </c>
      <c r="Y320" s="10" t="s">
        <v>382</v>
      </c>
      <c r="AA320" s="74" t="str">
        <f t="shared" si="3"/>
        <v>?</v>
      </c>
    </row>
    <row r="321" ht="14.25" customHeight="1">
      <c r="A321" s="10" t="str">
        <f t="shared" si="8"/>
        <v>?utm_source=selecione&amp;utm_medium=selecione&amp;utm_campaign=_selecione_selecione_selecione_selecione_selecione_selecione&amp;utm_content=___&amp;utm_term=##IDPlay##_</v>
      </c>
      <c r="C321" s="10" t="s">
        <v>34</v>
      </c>
      <c r="D321" s="10" t="s">
        <v>34</v>
      </c>
      <c r="F321" s="10" t="s">
        <v>34</v>
      </c>
      <c r="G321" s="10" t="s">
        <v>34</v>
      </c>
      <c r="H321" s="10" t="s">
        <v>34</v>
      </c>
      <c r="I321" s="10" t="s">
        <v>34</v>
      </c>
      <c r="J321" s="10" t="s">
        <v>34</v>
      </c>
      <c r="K321" s="10" t="s">
        <v>34</v>
      </c>
      <c r="L321" s="10" t="s">
        <v>35</v>
      </c>
      <c r="M321" s="10" t="s">
        <v>36</v>
      </c>
      <c r="N321" s="10" t="s">
        <v>37</v>
      </c>
      <c r="O321" s="10" t="s">
        <v>38</v>
      </c>
      <c r="P321" s="10" t="s">
        <v>39</v>
      </c>
      <c r="Q321" s="10" t="s">
        <v>40</v>
      </c>
      <c r="R321" s="10" t="s">
        <v>41</v>
      </c>
      <c r="Y321" s="10" t="s">
        <v>382</v>
      </c>
      <c r="AA321" s="74" t="str">
        <f t="shared" si="3"/>
        <v>?</v>
      </c>
    </row>
    <row r="322" ht="14.25" customHeight="1">
      <c r="A322" s="10" t="str">
        <f t="shared" si="8"/>
        <v>?utm_source=selecione&amp;utm_medium=selecione&amp;utm_campaign=_selecione_selecione_selecione_selecione_selecione_selecione&amp;utm_content=___&amp;utm_term=##IDPlay##_</v>
      </c>
      <c r="C322" s="10" t="s">
        <v>34</v>
      </c>
      <c r="D322" s="10" t="s">
        <v>34</v>
      </c>
      <c r="F322" s="10" t="s">
        <v>34</v>
      </c>
      <c r="G322" s="10" t="s">
        <v>34</v>
      </c>
      <c r="H322" s="10" t="s">
        <v>34</v>
      </c>
      <c r="I322" s="10" t="s">
        <v>34</v>
      </c>
      <c r="J322" s="10" t="s">
        <v>34</v>
      </c>
      <c r="K322" s="10" t="s">
        <v>34</v>
      </c>
      <c r="L322" s="10" t="s">
        <v>35</v>
      </c>
      <c r="M322" s="10" t="s">
        <v>36</v>
      </c>
      <c r="N322" s="10" t="s">
        <v>37</v>
      </c>
      <c r="O322" s="10" t="s">
        <v>38</v>
      </c>
      <c r="P322" s="10" t="s">
        <v>39</v>
      </c>
      <c r="Q322" s="10" t="s">
        <v>40</v>
      </c>
      <c r="R322" s="10" t="s">
        <v>41</v>
      </c>
      <c r="Y322" s="10" t="s">
        <v>382</v>
      </c>
      <c r="AA322" s="74" t="str">
        <f t="shared" si="3"/>
        <v>?</v>
      </c>
    </row>
    <row r="323" ht="14.25" customHeight="1">
      <c r="A323" s="10" t="str">
        <f t="shared" si="8"/>
        <v>?utm_source=selecione&amp;utm_medium=selecione&amp;utm_campaign=_selecione_selecione_selecione_selecione_selecione_selecione&amp;utm_content=___&amp;utm_term=##IDPlay##_</v>
      </c>
      <c r="C323" s="10" t="s">
        <v>34</v>
      </c>
      <c r="D323" s="10" t="s">
        <v>34</v>
      </c>
      <c r="F323" s="10" t="s">
        <v>34</v>
      </c>
      <c r="G323" s="10" t="s">
        <v>34</v>
      </c>
      <c r="H323" s="10" t="s">
        <v>34</v>
      </c>
      <c r="I323" s="10" t="s">
        <v>34</v>
      </c>
      <c r="J323" s="10" t="s">
        <v>34</v>
      </c>
      <c r="K323" s="10" t="s">
        <v>34</v>
      </c>
      <c r="L323" s="10" t="s">
        <v>35</v>
      </c>
      <c r="M323" s="10" t="s">
        <v>36</v>
      </c>
      <c r="N323" s="10" t="s">
        <v>37</v>
      </c>
      <c r="O323" s="10" t="s">
        <v>38</v>
      </c>
      <c r="P323" s="10" t="s">
        <v>39</v>
      </c>
      <c r="Q323" s="10" t="s">
        <v>40</v>
      </c>
      <c r="R323" s="10" t="s">
        <v>41</v>
      </c>
      <c r="Y323" s="10" t="s">
        <v>382</v>
      </c>
      <c r="AA323" s="74" t="str">
        <f t="shared" si="3"/>
        <v>?</v>
      </c>
    </row>
    <row r="324" ht="14.25" customHeight="1">
      <c r="A324" s="10" t="str">
        <f t="shared" si="8"/>
        <v>?utm_source=selecione&amp;utm_medium=selecione&amp;utm_campaign=_selecione_selecione_selecione_selecione_selecione_selecione&amp;utm_content=___&amp;utm_term=##IDPlay##_</v>
      </c>
      <c r="C324" s="10" t="s">
        <v>34</v>
      </c>
      <c r="D324" s="10" t="s">
        <v>34</v>
      </c>
      <c r="F324" s="10" t="s">
        <v>34</v>
      </c>
      <c r="G324" s="10" t="s">
        <v>34</v>
      </c>
      <c r="H324" s="10" t="s">
        <v>34</v>
      </c>
      <c r="I324" s="10" t="s">
        <v>34</v>
      </c>
      <c r="J324" s="10" t="s">
        <v>34</v>
      </c>
      <c r="K324" s="10" t="s">
        <v>34</v>
      </c>
      <c r="L324" s="10" t="s">
        <v>35</v>
      </c>
      <c r="M324" s="10" t="s">
        <v>36</v>
      </c>
      <c r="N324" s="10" t="s">
        <v>37</v>
      </c>
      <c r="O324" s="10" t="s">
        <v>38</v>
      </c>
      <c r="P324" s="10" t="s">
        <v>39</v>
      </c>
      <c r="Q324" s="10" t="s">
        <v>40</v>
      </c>
      <c r="R324" s="10" t="s">
        <v>41</v>
      </c>
      <c r="Y324" s="10" t="s">
        <v>382</v>
      </c>
      <c r="AA324" s="74" t="str">
        <f t="shared" si="3"/>
        <v>?</v>
      </c>
    </row>
    <row r="325" ht="14.25" customHeight="1">
      <c r="A325" s="10" t="str">
        <f t="shared" si="8"/>
        <v>?utm_source=selecione&amp;utm_medium=selecione&amp;utm_campaign=_selecione_selecione_selecione_selecione_selecione_selecione&amp;utm_content=___&amp;utm_term=##IDPlay##_</v>
      </c>
      <c r="C325" s="10" t="s">
        <v>34</v>
      </c>
      <c r="D325" s="10" t="s">
        <v>34</v>
      </c>
      <c r="F325" s="10" t="s">
        <v>34</v>
      </c>
      <c r="G325" s="10" t="s">
        <v>34</v>
      </c>
      <c r="H325" s="10" t="s">
        <v>34</v>
      </c>
      <c r="I325" s="10" t="s">
        <v>34</v>
      </c>
      <c r="J325" s="10" t="s">
        <v>34</v>
      </c>
      <c r="K325" s="10" t="s">
        <v>34</v>
      </c>
      <c r="L325" s="10" t="s">
        <v>35</v>
      </c>
      <c r="M325" s="10" t="s">
        <v>36</v>
      </c>
      <c r="N325" s="10" t="s">
        <v>37</v>
      </c>
      <c r="O325" s="10" t="s">
        <v>38</v>
      </c>
      <c r="P325" s="10" t="s">
        <v>39</v>
      </c>
      <c r="Q325" s="10" t="s">
        <v>40</v>
      </c>
      <c r="R325" s="10" t="s">
        <v>41</v>
      </c>
      <c r="Y325" s="10" t="s">
        <v>382</v>
      </c>
      <c r="AA325" s="74" t="str">
        <f t="shared" si="3"/>
        <v>?</v>
      </c>
    </row>
    <row r="326" ht="14.25" customHeight="1">
      <c r="A326" s="10" t="str">
        <f t="shared" si="8"/>
        <v>?utm_source=selecione&amp;utm_medium=selecione&amp;utm_campaign=_selecione_selecione_selecione_selecione_selecione_selecione&amp;utm_content=___&amp;utm_term=##IDPlay##_</v>
      </c>
      <c r="C326" s="10" t="s">
        <v>34</v>
      </c>
      <c r="D326" s="10" t="s">
        <v>34</v>
      </c>
      <c r="F326" s="10" t="s">
        <v>34</v>
      </c>
      <c r="G326" s="10" t="s">
        <v>34</v>
      </c>
      <c r="H326" s="10" t="s">
        <v>34</v>
      </c>
      <c r="I326" s="10" t="s">
        <v>34</v>
      </c>
      <c r="J326" s="10" t="s">
        <v>34</v>
      </c>
      <c r="K326" s="10" t="s">
        <v>34</v>
      </c>
      <c r="L326" s="10" t="s">
        <v>35</v>
      </c>
      <c r="M326" s="10" t="s">
        <v>36</v>
      </c>
      <c r="N326" s="10" t="s">
        <v>37</v>
      </c>
      <c r="O326" s="10" t="s">
        <v>38</v>
      </c>
      <c r="P326" s="10" t="s">
        <v>39</v>
      </c>
      <c r="Q326" s="10" t="s">
        <v>40</v>
      </c>
      <c r="R326" s="10" t="s">
        <v>41</v>
      </c>
      <c r="Y326" s="10" t="s">
        <v>382</v>
      </c>
      <c r="AA326" s="74" t="str">
        <f t="shared" si="3"/>
        <v>?</v>
      </c>
    </row>
    <row r="327" ht="14.25" customHeight="1">
      <c r="A327" s="10" t="str">
        <f t="shared" si="8"/>
        <v>?utm_source=selecione&amp;utm_medium=selecione&amp;utm_campaign=_selecione_selecione_selecione_selecione_selecione_selecione&amp;utm_content=___&amp;utm_term=##IDPlay##_</v>
      </c>
      <c r="C327" s="10" t="s">
        <v>34</v>
      </c>
      <c r="D327" s="10" t="s">
        <v>34</v>
      </c>
      <c r="F327" s="10" t="s">
        <v>34</v>
      </c>
      <c r="G327" s="10" t="s">
        <v>34</v>
      </c>
      <c r="H327" s="10" t="s">
        <v>34</v>
      </c>
      <c r="I327" s="10" t="s">
        <v>34</v>
      </c>
      <c r="J327" s="10" t="s">
        <v>34</v>
      </c>
      <c r="K327" s="10" t="s">
        <v>34</v>
      </c>
      <c r="L327" s="10" t="s">
        <v>35</v>
      </c>
      <c r="M327" s="10" t="s">
        <v>36</v>
      </c>
      <c r="N327" s="10" t="s">
        <v>37</v>
      </c>
      <c r="O327" s="10" t="s">
        <v>38</v>
      </c>
      <c r="P327" s="10" t="s">
        <v>39</v>
      </c>
      <c r="Q327" s="10" t="s">
        <v>40</v>
      </c>
      <c r="R327" s="10" t="s">
        <v>41</v>
      </c>
      <c r="Y327" s="10" t="s">
        <v>382</v>
      </c>
      <c r="AA327" s="74" t="str">
        <f t="shared" si="3"/>
        <v>?</v>
      </c>
    </row>
    <row r="328" ht="14.25" customHeight="1">
      <c r="A328" s="10" t="str">
        <f t="shared" si="8"/>
        <v>?utm_source=selecione&amp;utm_medium=selecione&amp;utm_campaign=_selecione_selecione_selecione_selecione_selecione_selecione&amp;utm_content=___&amp;utm_term=##IDPlay##_</v>
      </c>
      <c r="C328" s="10" t="s">
        <v>34</v>
      </c>
      <c r="D328" s="10" t="s">
        <v>34</v>
      </c>
      <c r="F328" s="10" t="s">
        <v>34</v>
      </c>
      <c r="G328" s="10" t="s">
        <v>34</v>
      </c>
      <c r="H328" s="10" t="s">
        <v>34</v>
      </c>
      <c r="I328" s="10" t="s">
        <v>34</v>
      </c>
      <c r="J328" s="10" t="s">
        <v>34</v>
      </c>
      <c r="K328" s="10" t="s">
        <v>34</v>
      </c>
      <c r="L328" s="10" t="s">
        <v>35</v>
      </c>
      <c r="M328" s="10" t="s">
        <v>36</v>
      </c>
      <c r="N328" s="10" t="s">
        <v>37</v>
      </c>
      <c r="O328" s="10" t="s">
        <v>38</v>
      </c>
      <c r="P328" s="10" t="s">
        <v>39</v>
      </c>
      <c r="Q328" s="10" t="s">
        <v>40</v>
      </c>
      <c r="R328" s="10" t="s">
        <v>41</v>
      </c>
      <c r="Y328" s="10" t="s">
        <v>382</v>
      </c>
      <c r="AA328" s="74" t="str">
        <f t="shared" si="3"/>
        <v>?</v>
      </c>
    </row>
    <row r="329" ht="14.25" customHeight="1">
      <c r="A329" s="10" t="str">
        <f t="shared" si="8"/>
        <v>?utm_source=selecione&amp;utm_medium=selecione&amp;utm_campaign=_selecione_selecione_selecione_selecione_selecione_selecione&amp;utm_content=___&amp;utm_term=##IDPlay##_</v>
      </c>
      <c r="C329" s="10" t="s">
        <v>34</v>
      </c>
      <c r="D329" s="10" t="s">
        <v>34</v>
      </c>
      <c r="F329" s="10" t="s">
        <v>34</v>
      </c>
      <c r="G329" s="10" t="s">
        <v>34</v>
      </c>
      <c r="H329" s="10" t="s">
        <v>34</v>
      </c>
      <c r="I329" s="10" t="s">
        <v>34</v>
      </c>
      <c r="J329" s="10" t="s">
        <v>34</v>
      </c>
      <c r="K329" s="10" t="s">
        <v>34</v>
      </c>
      <c r="L329" s="10" t="s">
        <v>35</v>
      </c>
      <c r="M329" s="10" t="s">
        <v>36</v>
      </c>
      <c r="N329" s="10" t="s">
        <v>37</v>
      </c>
      <c r="O329" s="10" t="s">
        <v>38</v>
      </c>
      <c r="P329" s="10" t="s">
        <v>39</v>
      </c>
      <c r="Q329" s="10" t="s">
        <v>40</v>
      </c>
      <c r="R329" s="10" t="s">
        <v>41</v>
      </c>
      <c r="Y329" s="10" t="s">
        <v>382</v>
      </c>
      <c r="AA329" s="74" t="str">
        <f t="shared" si="3"/>
        <v>?</v>
      </c>
    </row>
    <row r="330" ht="14.25" customHeight="1">
      <c r="A330" s="10" t="str">
        <f t="shared" si="8"/>
        <v>?utm_source=selecione&amp;utm_medium=selecione&amp;utm_campaign=_selecione_selecione_selecione_selecione_selecione_selecione&amp;utm_content=___&amp;utm_term=##IDPlay##_</v>
      </c>
      <c r="C330" s="10" t="s">
        <v>34</v>
      </c>
      <c r="D330" s="10" t="s">
        <v>34</v>
      </c>
      <c r="F330" s="10" t="s">
        <v>34</v>
      </c>
      <c r="G330" s="10" t="s">
        <v>34</v>
      </c>
      <c r="H330" s="10" t="s">
        <v>34</v>
      </c>
      <c r="I330" s="10" t="s">
        <v>34</v>
      </c>
      <c r="J330" s="10" t="s">
        <v>34</v>
      </c>
      <c r="K330" s="10" t="s">
        <v>34</v>
      </c>
      <c r="L330" s="10" t="s">
        <v>35</v>
      </c>
      <c r="M330" s="10" t="s">
        <v>36</v>
      </c>
      <c r="N330" s="10" t="s">
        <v>37</v>
      </c>
      <c r="O330" s="10" t="s">
        <v>38</v>
      </c>
      <c r="P330" s="10" t="s">
        <v>39</v>
      </c>
      <c r="Q330" s="10" t="s">
        <v>40</v>
      </c>
      <c r="R330" s="10" t="s">
        <v>41</v>
      </c>
      <c r="Y330" s="10" t="s">
        <v>382</v>
      </c>
      <c r="AA330" s="74" t="str">
        <f t="shared" si="3"/>
        <v>?</v>
      </c>
    </row>
    <row r="331" ht="14.25" customHeight="1">
      <c r="A331" s="10" t="str">
        <f t="shared" si="8"/>
        <v>?utm_source=selecione&amp;utm_medium=selecione&amp;utm_campaign=_selecione_selecione_selecione_selecione_selecione_selecione&amp;utm_content=___&amp;utm_term=##IDPlay##_</v>
      </c>
      <c r="C331" s="10" t="s">
        <v>34</v>
      </c>
      <c r="D331" s="10" t="s">
        <v>34</v>
      </c>
      <c r="F331" s="10" t="s">
        <v>34</v>
      </c>
      <c r="G331" s="10" t="s">
        <v>34</v>
      </c>
      <c r="H331" s="10" t="s">
        <v>34</v>
      </c>
      <c r="I331" s="10" t="s">
        <v>34</v>
      </c>
      <c r="J331" s="10" t="s">
        <v>34</v>
      </c>
      <c r="K331" s="10" t="s">
        <v>34</v>
      </c>
      <c r="L331" s="10" t="s">
        <v>35</v>
      </c>
      <c r="M331" s="10" t="s">
        <v>36</v>
      </c>
      <c r="N331" s="10" t="s">
        <v>37</v>
      </c>
      <c r="O331" s="10" t="s">
        <v>38</v>
      </c>
      <c r="P331" s="10" t="s">
        <v>39</v>
      </c>
      <c r="Q331" s="10" t="s">
        <v>40</v>
      </c>
      <c r="R331" s="10" t="s">
        <v>41</v>
      </c>
      <c r="Y331" s="10" t="s">
        <v>382</v>
      </c>
      <c r="AA331" s="74" t="str">
        <f t="shared" si="3"/>
        <v>?</v>
      </c>
    </row>
    <row r="332" ht="14.25" customHeight="1">
      <c r="A332" s="10" t="str">
        <f t="shared" si="8"/>
        <v>?utm_source=selecione&amp;utm_medium=selecione&amp;utm_campaign=_selecione_selecione_selecione_selecione_selecione_selecione&amp;utm_content=___&amp;utm_term=##IDPlay##_</v>
      </c>
      <c r="C332" s="10" t="s">
        <v>34</v>
      </c>
      <c r="D332" s="10" t="s">
        <v>34</v>
      </c>
      <c r="F332" s="10" t="s">
        <v>34</v>
      </c>
      <c r="G332" s="10" t="s">
        <v>34</v>
      </c>
      <c r="H332" s="10" t="s">
        <v>34</v>
      </c>
      <c r="I332" s="10" t="s">
        <v>34</v>
      </c>
      <c r="J332" s="10" t="s">
        <v>34</v>
      </c>
      <c r="K332" s="10" t="s">
        <v>34</v>
      </c>
      <c r="L332" s="10" t="s">
        <v>35</v>
      </c>
      <c r="M332" s="10" t="s">
        <v>36</v>
      </c>
      <c r="N332" s="10" t="s">
        <v>37</v>
      </c>
      <c r="O332" s="10" t="s">
        <v>38</v>
      </c>
      <c r="P332" s="10" t="s">
        <v>39</v>
      </c>
      <c r="Q332" s="10" t="s">
        <v>40</v>
      </c>
      <c r="R332" s="10" t="s">
        <v>41</v>
      </c>
      <c r="Y332" s="10" t="s">
        <v>382</v>
      </c>
      <c r="AA332" s="74" t="str">
        <f t="shared" si="3"/>
        <v>?</v>
      </c>
    </row>
    <row r="333" ht="14.25" customHeight="1">
      <c r="A333" s="10" t="str">
        <f t="shared" si="8"/>
        <v>?utm_source=selecione&amp;utm_medium=selecione&amp;utm_campaign=_selecione_selecione_selecione_selecione_selecione_selecione&amp;utm_content=___&amp;utm_term=##IDPlay##_</v>
      </c>
      <c r="C333" s="10" t="s">
        <v>34</v>
      </c>
      <c r="D333" s="10" t="s">
        <v>34</v>
      </c>
      <c r="F333" s="10" t="s">
        <v>34</v>
      </c>
      <c r="G333" s="10" t="s">
        <v>34</v>
      </c>
      <c r="H333" s="10" t="s">
        <v>34</v>
      </c>
      <c r="I333" s="10" t="s">
        <v>34</v>
      </c>
      <c r="J333" s="10" t="s">
        <v>34</v>
      </c>
      <c r="K333" s="10" t="s">
        <v>34</v>
      </c>
      <c r="L333" s="10" t="s">
        <v>35</v>
      </c>
      <c r="M333" s="10" t="s">
        <v>36</v>
      </c>
      <c r="N333" s="10" t="s">
        <v>37</v>
      </c>
      <c r="O333" s="10" t="s">
        <v>38</v>
      </c>
      <c r="P333" s="10" t="s">
        <v>39</v>
      </c>
      <c r="Q333" s="10" t="s">
        <v>40</v>
      </c>
      <c r="R333" s="10" t="s">
        <v>41</v>
      </c>
      <c r="Y333" s="10" t="s">
        <v>382</v>
      </c>
      <c r="AA333" s="74" t="str">
        <f t="shared" si="3"/>
        <v>?</v>
      </c>
    </row>
    <row r="334" ht="14.25" customHeight="1">
      <c r="A334" s="10" t="str">
        <f t="shared" si="8"/>
        <v>?utm_source=selecione&amp;utm_medium=selecione&amp;utm_campaign=_selecione_selecione_selecione_selecione_selecione_selecione&amp;utm_content=___&amp;utm_term=##IDPlay##_</v>
      </c>
      <c r="C334" s="10" t="s">
        <v>34</v>
      </c>
      <c r="D334" s="10" t="s">
        <v>34</v>
      </c>
      <c r="F334" s="10" t="s">
        <v>34</v>
      </c>
      <c r="G334" s="10" t="s">
        <v>34</v>
      </c>
      <c r="H334" s="10" t="s">
        <v>34</v>
      </c>
      <c r="I334" s="10" t="s">
        <v>34</v>
      </c>
      <c r="J334" s="10" t="s">
        <v>34</v>
      </c>
      <c r="K334" s="10" t="s">
        <v>34</v>
      </c>
      <c r="L334" s="10" t="s">
        <v>35</v>
      </c>
      <c r="M334" s="10" t="s">
        <v>36</v>
      </c>
      <c r="N334" s="10" t="s">
        <v>37</v>
      </c>
      <c r="O334" s="10" t="s">
        <v>38</v>
      </c>
      <c r="P334" s="10" t="s">
        <v>39</v>
      </c>
      <c r="Q334" s="10" t="s">
        <v>40</v>
      </c>
      <c r="R334" s="10" t="s">
        <v>41</v>
      </c>
      <c r="Y334" s="10" t="s">
        <v>382</v>
      </c>
      <c r="AA334" s="74" t="str">
        <f t="shared" si="3"/>
        <v>?</v>
      </c>
    </row>
    <row r="335" ht="14.25" customHeight="1">
      <c r="A335" s="10" t="str">
        <f t="shared" si="8"/>
        <v>?utm_source=selecione&amp;utm_medium=selecione&amp;utm_campaign=_selecione_selecione_selecione_selecione_selecione_selecione&amp;utm_content=___&amp;utm_term=##IDPlay##_</v>
      </c>
      <c r="C335" s="10" t="s">
        <v>34</v>
      </c>
      <c r="D335" s="10" t="s">
        <v>34</v>
      </c>
      <c r="F335" s="10" t="s">
        <v>34</v>
      </c>
      <c r="G335" s="10" t="s">
        <v>34</v>
      </c>
      <c r="H335" s="10" t="s">
        <v>34</v>
      </c>
      <c r="I335" s="10" t="s">
        <v>34</v>
      </c>
      <c r="J335" s="10" t="s">
        <v>34</v>
      </c>
      <c r="K335" s="10" t="s">
        <v>34</v>
      </c>
      <c r="L335" s="10" t="s">
        <v>35</v>
      </c>
      <c r="M335" s="10" t="s">
        <v>36</v>
      </c>
      <c r="N335" s="10" t="s">
        <v>37</v>
      </c>
      <c r="O335" s="10" t="s">
        <v>38</v>
      </c>
      <c r="P335" s="10" t="s">
        <v>39</v>
      </c>
      <c r="Q335" s="10" t="s">
        <v>40</v>
      </c>
      <c r="R335" s="10" t="s">
        <v>41</v>
      </c>
      <c r="Y335" s="10" t="s">
        <v>382</v>
      </c>
      <c r="AA335" s="74" t="str">
        <f t="shared" si="3"/>
        <v>?</v>
      </c>
    </row>
    <row r="336" ht="14.25" customHeight="1">
      <c r="A336" s="10" t="str">
        <f t="shared" si="8"/>
        <v>?utm_source=selecione&amp;utm_medium=selecione&amp;utm_campaign=_selecione_selecione_selecione_selecione_selecione_selecione&amp;utm_content=___&amp;utm_term=##IDPlay##_</v>
      </c>
      <c r="C336" s="10" t="s">
        <v>34</v>
      </c>
      <c r="D336" s="10" t="s">
        <v>34</v>
      </c>
      <c r="F336" s="10" t="s">
        <v>34</v>
      </c>
      <c r="G336" s="10" t="s">
        <v>34</v>
      </c>
      <c r="H336" s="10" t="s">
        <v>34</v>
      </c>
      <c r="I336" s="10" t="s">
        <v>34</v>
      </c>
      <c r="J336" s="10" t="s">
        <v>34</v>
      </c>
      <c r="K336" s="10" t="s">
        <v>34</v>
      </c>
      <c r="L336" s="10" t="s">
        <v>35</v>
      </c>
      <c r="M336" s="10" t="s">
        <v>36</v>
      </c>
      <c r="N336" s="10" t="s">
        <v>37</v>
      </c>
      <c r="O336" s="10" t="s">
        <v>38</v>
      </c>
      <c r="P336" s="10" t="s">
        <v>39</v>
      </c>
      <c r="Q336" s="10" t="s">
        <v>40</v>
      </c>
      <c r="R336" s="10" t="s">
        <v>41</v>
      </c>
      <c r="Y336" s="10" t="s">
        <v>382</v>
      </c>
      <c r="AA336" s="74" t="str">
        <f t="shared" si="3"/>
        <v>?</v>
      </c>
    </row>
    <row r="337" ht="14.25" customHeight="1">
      <c r="A337" s="10" t="str">
        <f t="shared" si="8"/>
        <v>?utm_source=selecione&amp;utm_medium=selecione&amp;utm_campaign=_selecione_selecione_selecione_selecione_selecione_selecione&amp;utm_content=___&amp;utm_term=##IDPlay##_</v>
      </c>
      <c r="C337" s="10" t="s">
        <v>34</v>
      </c>
      <c r="D337" s="10" t="s">
        <v>34</v>
      </c>
      <c r="F337" s="10" t="s">
        <v>34</v>
      </c>
      <c r="G337" s="10" t="s">
        <v>34</v>
      </c>
      <c r="H337" s="10" t="s">
        <v>34</v>
      </c>
      <c r="I337" s="10" t="s">
        <v>34</v>
      </c>
      <c r="J337" s="10" t="s">
        <v>34</v>
      </c>
      <c r="K337" s="10" t="s">
        <v>34</v>
      </c>
      <c r="L337" s="10" t="s">
        <v>35</v>
      </c>
      <c r="M337" s="10" t="s">
        <v>36</v>
      </c>
      <c r="N337" s="10" t="s">
        <v>37</v>
      </c>
      <c r="O337" s="10" t="s">
        <v>38</v>
      </c>
      <c r="P337" s="10" t="s">
        <v>39</v>
      </c>
      <c r="Q337" s="10" t="s">
        <v>40</v>
      </c>
      <c r="R337" s="10" t="s">
        <v>41</v>
      </c>
      <c r="Y337" s="10" t="s">
        <v>382</v>
      </c>
      <c r="AA337" s="74" t="str">
        <f t="shared" si="3"/>
        <v>?</v>
      </c>
    </row>
    <row r="338" ht="14.25" customHeight="1">
      <c r="A338" s="10" t="str">
        <f t="shared" si="8"/>
        <v>?utm_source=selecione&amp;utm_medium=selecione&amp;utm_campaign=_selecione_selecione_selecione_selecione_selecione_selecione&amp;utm_content=___&amp;utm_term=##IDPlay##_</v>
      </c>
      <c r="C338" s="10" t="s">
        <v>34</v>
      </c>
      <c r="D338" s="10" t="s">
        <v>34</v>
      </c>
      <c r="F338" s="10" t="s">
        <v>34</v>
      </c>
      <c r="G338" s="10" t="s">
        <v>34</v>
      </c>
      <c r="H338" s="10" t="s">
        <v>34</v>
      </c>
      <c r="I338" s="10" t="s">
        <v>34</v>
      </c>
      <c r="J338" s="10" t="s">
        <v>34</v>
      </c>
      <c r="K338" s="10" t="s">
        <v>34</v>
      </c>
      <c r="L338" s="10" t="s">
        <v>35</v>
      </c>
      <c r="M338" s="10" t="s">
        <v>36</v>
      </c>
      <c r="N338" s="10" t="s">
        <v>37</v>
      </c>
      <c r="O338" s="10" t="s">
        <v>38</v>
      </c>
      <c r="P338" s="10" t="s">
        <v>39</v>
      </c>
      <c r="Q338" s="10" t="s">
        <v>40</v>
      </c>
      <c r="R338" s="10" t="s">
        <v>41</v>
      </c>
      <c r="Y338" s="10" t="s">
        <v>382</v>
      </c>
      <c r="AA338" s="74" t="str">
        <f t="shared" si="3"/>
        <v>?</v>
      </c>
    </row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>
      <c r="Y347" s="10" t="s">
        <v>382</v>
      </c>
    </row>
    <row r="348" ht="14.25" customHeight="1">
      <c r="Y348" s="10" t="s">
        <v>382</v>
      </c>
    </row>
    <row r="349" ht="14.25" customHeight="1">
      <c r="Y349" s="10" t="s">
        <v>382</v>
      </c>
    </row>
    <row r="350" ht="14.25" customHeight="1">
      <c r="Y350" s="10" t="s">
        <v>382</v>
      </c>
    </row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C2:K2"/>
    <mergeCell ref="L2:T2"/>
    <mergeCell ref="A3:A4"/>
    <mergeCell ref="B3:B4"/>
    <mergeCell ref="E3:S3"/>
    <mergeCell ref="U3:X3"/>
    <mergeCell ref="Y3:Z3"/>
  </mergeCells>
  <dataValidations>
    <dataValidation type="list" allowBlank="1" showErrorMessage="1" sqref="P5:P338">
      <formula1>'configuração'!$P$3:$P$6</formula1>
    </dataValidation>
    <dataValidation type="list" allowBlank="1" showErrorMessage="1" sqref="F5:F338">
      <formula1>'configuração'!$F$3:$F$6</formula1>
    </dataValidation>
    <dataValidation type="list" allowBlank="1" showErrorMessage="1" sqref="M5:M338">
      <formula1>'configuração'!$M$3:$M$10</formula1>
    </dataValidation>
    <dataValidation type="list" allowBlank="1" showInputMessage="1" showErrorMessage="1" prompt="Selecione" sqref="C5:C338">
      <formula1>'configuração'!$C$3:$C$31</formula1>
    </dataValidation>
    <dataValidation type="list" allowBlank="1" showErrorMessage="1" sqref="O5:O338">
      <formula1>'configuração'!$O$3:$O$9</formula1>
    </dataValidation>
    <dataValidation type="list" allowBlank="1" showErrorMessage="1" sqref="K5:K338">
      <formula1>'configuração'!$K$3:$K$14</formula1>
    </dataValidation>
    <dataValidation type="list" allowBlank="1" showErrorMessage="1" sqref="G5:G338">
      <formula1>'configuração'!$G$3:$G$6</formula1>
    </dataValidation>
    <dataValidation type="list" allowBlank="1" showErrorMessage="1" sqref="Q5:Q338">
      <formula1>'configuração'!$Q$3:$Q$7</formula1>
    </dataValidation>
    <dataValidation type="list" allowBlank="1" showErrorMessage="1" sqref="L5:L338">
      <formula1>'configuração'!$L$3:$L$4</formula1>
    </dataValidation>
    <dataValidation type="list" allowBlank="1" showErrorMessage="1" sqref="J5:J338">
      <formula1>'configuração'!$J$3:$J$58</formula1>
    </dataValidation>
    <dataValidation type="list" allowBlank="1" showErrorMessage="1" sqref="R5:R338">
      <formula1>'configuração'!$R$3:$R$7</formula1>
    </dataValidation>
    <dataValidation type="list" allowBlank="1" showErrorMessage="1" sqref="H5:H338">
      <formula1>'configuração'!$H$3:$H$12</formula1>
    </dataValidation>
    <dataValidation type="list" allowBlank="1" showErrorMessage="1" sqref="N5:N338">
      <formula1>'configuração'!$N$3:$N$8</formula1>
    </dataValidation>
    <dataValidation type="list" allowBlank="1" showErrorMessage="1" sqref="D5:D338">
      <formula1>'configuração'!$D$3:$D$22</formula1>
    </dataValidation>
    <dataValidation type="list" allowBlank="1" showErrorMessage="1" sqref="I5:I338">
      <formula1>'configuração'!$I$3:$I$32</formula1>
    </dataValidation>
  </dataValidations>
  <hyperlinks>
    <hyperlink r:id="rId2" ref="B5"/>
    <hyperlink r:id="rId3" ref="B7"/>
    <hyperlink r:id="rId4" ref="B8"/>
    <hyperlink r:id="rId5" ref="B9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9"/>
    <hyperlink r:id="rId14" ref="B20"/>
    <hyperlink r:id="rId15" ref="B22"/>
    <hyperlink r:id="rId16" ref="B23"/>
    <hyperlink r:id="rId17" ref="B24"/>
    <hyperlink r:id="rId18" ref="B25"/>
    <hyperlink r:id="rId19" ref="B31"/>
    <hyperlink r:id="rId20" ref="B32"/>
    <hyperlink r:id="rId21" ref="B33"/>
    <hyperlink r:id="rId22" ref="B36"/>
    <hyperlink r:id="rId23" ref="B37"/>
    <hyperlink r:id="rId24" ref="B45"/>
    <hyperlink r:id="rId25" ref="B46"/>
    <hyperlink r:id="rId26" ref="B50"/>
    <hyperlink r:id="rId27" ref="B51"/>
    <hyperlink r:id="rId28" ref="B57"/>
    <hyperlink r:id="rId29" ref="B58"/>
    <hyperlink r:id="rId30" ref="B60"/>
    <hyperlink r:id="rId31" ref="B62"/>
    <hyperlink r:id="rId32" ref="B63"/>
    <hyperlink r:id="rId33" ref="B64"/>
    <hyperlink r:id="rId34" ref="B65"/>
    <hyperlink r:id="rId35" ref="B66"/>
    <hyperlink r:id="rId36" ref="B67"/>
    <hyperlink r:id="rId37" ref="B68"/>
    <hyperlink r:id="rId38" ref="B70"/>
    <hyperlink r:id="rId39" ref="B71"/>
    <hyperlink r:id="rId40" ref="B74"/>
    <hyperlink r:id="rId41" ref="B80"/>
    <hyperlink r:id="rId42" ref="B88"/>
    <hyperlink r:id="rId43" ref="B89"/>
    <hyperlink r:id="rId44" ref="B90"/>
    <hyperlink r:id="rId45" ref="B91"/>
    <hyperlink r:id="rId46" ref="B98"/>
    <hyperlink r:id="rId47" ref="B104"/>
    <hyperlink r:id="rId48" ref="B107"/>
    <hyperlink r:id="rId49" ref="B108"/>
    <hyperlink r:id="rId50" ref="B109"/>
    <hyperlink r:id="rId51" ref="B111"/>
    <hyperlink r:id="rId52" ref="B112"/>
    <hyperlink r:id="rId53" ref="B113"/>
    <hyperlink r:id="rId54" ref="B114"/>
    <hyperlink r:id="rId55" ref="B115"/>
    <hyperlink r:id="rId56" ref="B116"/>
    <hyperlink r:id="rId57" ref="B117"/>
    <hyperlink r:id="rId58" ref="B118"/>
    <hyperlink r:id="rId59" ref="B119"/>
    <hyperlink r:id="rId60" ref="B120"/>
    <hyperlink r:id="rId61" ref="B121"/>
    <hyperlink r:id="rId62" ref="B122"/>
    <hyperlink r:id="rId63" ref="B123"/>
    <hyperlink r:id="rId64" ref="B124"/>
    <hyperlink r:id="rId65" ref="B126"/>
    <hyperlink r:id="rId66" ref="B127"/>
    <hyperlink r:id="rId67" ref="B128"/>
    <hyperlink r:id="rId68" ref="B129"/>
    <hyperlink r:id="rId69" ref="B130"/>
    <hyperlink r:id="rId70" ref="B131"/>
    <hyperlink r:id="rId71" ref="B132"/>
    <hyperlink r:id="rId72" ref="B134"/>
    <hyperlink r:id="rId73" ref="B138"/>
    <hyperlink r:id="rId74" ref="B139"/>
    <hyperlink r:id="rId75" ref="B140"/>
    <hyperlink r:id="rId76" ref="B141"/>
    <hyperlink r:id="rId77" ref="B142"/>
    <hyperlink r:id="rId78" ref="B143"/>
    <hyperlink r:id="rId79" ref="B144"/>
    <hyperlink r:id="rId80" ref="B147"/>
    <hyperlink r:id="rId81" ref="B148"/>
    <hyperlink r:id="rId82" ref="B149"/>
    <hyperlink r:id="rId83" ref="B150"/>
    <hyperlink r:id="rId84" ref="B151"/>
    <hyperlink r:id="rId85" ref="B152"/>
    <hyperlink r:id="rId86" ref="B153"/>
    <hyperlink r:id="rId87" ref="B155"/>
    <hyperlink r:id="rId88" ref="B156"/>
    <hyperlink r:id="rId89" ref="B157"/>
    <hyperlink r:id="rId90" ref="B158"/>
    <hyperlink r:id="rId91" ref="B159"/>
    <hyperlink r:id="rId92" ref="B160"/>
    <hyperlink r:id="rId93" ref="B161"/>
    <hyperlink r:id="rId94" ref="B169"/>
    <hyperlink r:id="rId95" ref="B171"/>
    <hyperlink r:id="rId96" ref="B172"/>
    <hyperlink r:id="rId97" ref="B173"/>
    <hyperlink r:id="rId98" ref="B175"/>
  </hyperlinks>
  <printOptions/>
  <pageMargins bottom="0.787401575" footer="0.0" header="0.0" left="0.511811024" right="0.511811024" top="0.787401575"/>
  <pageSetup paperSize="9" orientation="portrait"/>
  <drawing r:id="rId99"/>
  <legacyDrawing r:id="rId1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2021-08-17T21:11:34Z</dcterms:created>
  <dc:creator>Gabriela De Canicais Ozi</dc:creator>
</cp:coreProperties>
</file>